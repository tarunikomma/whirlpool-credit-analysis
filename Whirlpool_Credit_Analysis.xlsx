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Financials" sheetId="2" state="visible" r:id="rId4"/>
    <sheet name="Credit Metrics" sheetId="3" state="visible" r:id="rId5"/>
    <sheet name="Capital Structure" sheetId="4" state="visible" r:id="rId6"/>
    <sheet name="Projections" sheetId="5" state="visible" r:id="rId7"/>
    <sheet name="ABL Collateral" sheetId="6" state="visible" r:id="rId8"/>
    <sheet name="Risk Rating"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FY2023: Q4 2024 earnings release (8-K Ex. 99.1) https://www.sec.gov/Archives/edgar/data/106640/000010664025000006/exhibit991pressrelease1231.htm</t>
        </r>
      </text>
    </comment>
    <comment ref="D6" authorId="0">
      <text>
        <r>
          <rPr>
            <sz val="10"/>
            <rFont val="Arial"/>
            <family val="2"/>
          </rPr>
          <t xml:space="preserve">FY2024–FY2025: Q4 2025 earnings release https://s202.q4cdn.com/229739679/files/doc_financials/2025/q4/12-31-2025-Press-Release.pdf</t>
        </r>
      </text>
    </comment>
    <comment ref="E6" authorId="0">
      <text>
        <r>
          <rPr>
            <sz val="10"/>
            <rFont val="Arial"/>
            <family val="2"/>
          </rPr>
          <t xml:space="preserve">H1 2025/2026: Q1 2026 and Q2 2026 earnings releases https://whirlpool.mediaroom.com/2026-08-03-Whirlpool-Corporation-Announces-Second-Quarter-Results</t>
        </r>
      </text>
    </comment>
  </commentList>
</comments>
</file>

<file path=xl/sharedStrings.xml><?xml version="1.0" encoding="utf-8"?>
<sst xmlns="http://schemas.openxmlformats.org/spreadsheetml/2006/main" count="324" uniqueCount="268">
  <si>
    <t xml:space="preserve">Whirlpool Corporation (WHR) — Credit Analysis: $2.0B ABL Participation Request</t>
  </si>
  <si>
    <t xml:space="preserve">Prepared by Taruni Komma | Data as of October 2026 | Financials through June 30, 2026</t>
  </si>
  <si>
    <t xml:space="preserve">REQUEST AND RECOMMENDATION</t>
  </si>
  <si>
    <t xml:space="preserve">Request</t>
  </si>
  <si>
    <t xml:space="preserve">$150mm participation in Whirlpool's $2.0B senior secured asset-based revolving credit facility</t>
  </si>
  <si>
    <t xml:space="preserve">Recommendation</t>
  </si>
  <si>
    <t xml:space="preserve">Approve the secured ABL participation with conditions; do not extend unsecured credit</t>
  </si>
  <si>
    <t xml:space="preserve">Obligor risk rating</t>
  </si>
  <si>
    <t xml:space="preserve">ABL facility risk rating</t>
  </si>
  <si>
    <t xml:space="preserve">KEY METRICS</t>
  </si>
  <si>
    <t xml:space="preserve">LTM net sales ($mm)</t>
  </si>
  <si>
    <t xml:space="preserve">LTM EBITDA ($mm)</t>
  </si>
  <si>
    <t xml:space="preserve">LTM EBITDA margin</t>
  </si>
  <si>
    <t xml:space="preserve">Net debt / EBITDA (LTM)</t>
  </si>
  <si>
    <t xml:space="preserve">EBITDA / interest (LTM)</t>
  </si>
  <si>
    <t xml:space="preserve">Run-rate coverage after refinancing</t>
  </si>
  <si>
    <t xml:space="preserve">Base case net debt / EBITDA, FY2028E</t>
  </si>
  <si>
    <t xml:space="preserve">Stress case net debt / EBITDA, FY2028E</t>
  </si>
  <si>
    <t xml:space="preserve">Estimated ABL borrowing base ($mm)</t>
  </si>
  <si>
    <t xml:space="preserve">Springing covenant trigger: availability below ($mm)</t>
  </si>
  <si>
    <t xml:space="preserve">WORKBOOK</t>
  </si>
  <si>
    <t xml:space="preserve">• Financials — reported spreads FY2023–FY2025, H1 2025/2026 and LTM June 2026</t>
  </si>
  <si>
    <t xml:space="preserve">• Credit Metrics — leverage, coverage, cash flow ratios and the legacy 3.0x covenant test</t>
  </si>
  <si>
    <t xml:space="preserve">• Capital Structure — pro forma debt stack after the June 2026 refinancing, bond prices, ratings</t>
  </si>
  <si>
    <t xml:space="preserve">• Projections — base and stress cases with leverage, coverage and the ABL springing FCCR test</t>
  </si>
  <si>
    <t xml:space="preserve">• ABL Collateral — borrowing base estimate and collateral coverage</t>
  </si>
  <si>
    <t xml:space="preserve">• Risk Rating — weighted scorecard, obligor rating and collateral-notched facility rating</t>
  </si>
  <si>
    <t xml:space="preserve">• Sources — every filing and data page used</t>
  </si>
  <si>
    <t xml:space="preserve">COLOR LEGEND</t>
  </si>
  <si>
    <t xml:space="preserve">Blue text — reported figure or assumption</t>
  </si>
  <si>
    <t xml:space="preserve">Black text — formula</t>
  </si>
  <si>
    <t xml:space="preserve">Green text — link to another sheet</t>
  </si>
  <si>
    <t xml:space="preserve">Yellow fill — key assumption</t>
  </si>
  <si>
    <t xml:space="preserve">Whirlpool Corporation — Financial Spreads ($ millions)</t>
  </si>
  <si>
    <t xml:space="preserve">Fiscal year = calendar year. LTM = FY2025 − H1 2025 + H1 2026 for flow items. Blue = reported figures (sources in comments and on the Sources sheet).</t>
  </si>
  <si>
    <t xml:space="preserve">($ in millions)</t>
  </si>
  <si>
    <t xml:space="preserve">FY2023A</t>
  </si>
  <si>
    <t xml:space="preserve">FY2024A</t>
  </si>
  <si>
    <t xml:space="preserve">FY2025A</t>
  </si>
  <si>
    <t xml:space="preserve">H1 2025</t>
  </si>
  <si>
    <t xml:space="preserve">H1 2026</t>
  </si>
  <si>
    <t xml:space="preserve">LTM Jun-26</t>
  </si>
  <si>
    <t xml:space="preserve">INCOME STATEMENT &amp; CASH FLOW</t>
  </si>
  <si>
    <t xml:space="preserve">Net sales</t>
  </si>
  <si>
    <t xml:space="preserve">Operating profit (GAAP)</t>
  </si>
  <si>
    <t xml:space="preserve">Ongoing EBIT (company-adjusted)</t>
  </si>
  <si>
    <t xml:space="preserve">Depreciation &amp; amortization</t>
  </si>
  <si>
    <t xml:space="preserve">Interest expense</t>
  </si>
  <si>
    <t xml:space="preserve">Income tax expense</t>
  </si>
  <si>
    <t xml:space="preserve">Net earnings available to Whirlpool</t>
  </si>
  <si>
    <t xml:space="preserve">Cash from operating activities</t>
  </si>
  <si>
    <t xml:space="preserve">Capital expenditures</t>
  </si>
  <si>
    <t xml:space="preserve">Dividends paid</t>
  </si>
  <si>
    <t xml:space="preserve">Free cash flow (CFO − capex)</t>
  </si>
  <si>
    <t xml:space="preserve">BALANCE SHEET (period end)</t>
  </si>
  <si>
    <t xml:space="preserve">Cash and cash equivalents</t>
  </si>
  <si>
    <t xml:space="preserve">Jun-26 includes $212mm restricted for the July 1, 2026 debt payment</t>
  </si>
  <si>
    <t xml:space="preserve">Notes payable</t>
  </si>
  <si>
    <t xml:space="preserve">Current maturities of long-term debt</t>
  </si>
  <si>
    <t xml:space="preserve">Long-term debt</t>
  </si>
  <si>
    <t xml:space="preserve">Lease liabilities (noncurrent)</t>
  </si>
  <si>
    <t xml:space="preserve">Jun-26 not disclosed in release; Dec-25 carried forward</t>
  </si>
  <si>
    <t xml:space="preserve">Total stockholders' equity</t>
  </si>
  <si>
    <t xml:space="preserve">Accounts receivable, net</t>
  </si>
  <si>
    <t xml:space="preserve">Inventories</t>
  </si>
  <si>
    <t xml:space="preserve">Property, net</t>
  </si>
  <si>
    <t xml:space="preserve">Accounts payable</t>
  </si>
  <si>
    <t xml:space="preserve">Total debt (notes payable + current + long-term)</t>
  </si>
  <si>
    <t xml:space="preserve">Notes: H1 columns cover six months ended June 30. Balance sheet LTM column shows June 30, 2026.</t>
  </si>
  <si>
    <t xml:space="preserve">Ongoing EBIT is Whirlpool's non-GAAP measure (excludes restructuring, impairments, M&amp;A and legal items).</t>
  </si>
  <si>
    <t xml:space="preserve">FY2024 company-reported free cash flow was $385mm; this sheet computes CFO − capex = $384mm (rounding).</t>
  </si>
  <si>
    <t xml:space="preserve">Credit Metrics and Covenant Test</t>
  </si>
  <si>
    <t xml:space="preserve">EBITDA = ongoing EBIT + D&amp;A. LTM = twelve months ended June 30, 2026.</t>
  </si>
  <si>
    <t xml:space="preserve">Metric</t>
  </si>
  <si>
    <t xml:space="preserve">Bank guideline (illustrative)</t>
  </si>
  <si>
    <t xml:space="preserve">PROFITABILITY</t>
  </si>
  <si>
    <t xml:space="preserve">EBITDA ($mm)</t>
  </si>
  <si>
    <t xml:space="preserve">EBITDA margin</t>
  </si>
  <si>
    <t xml:space="preserve">Ongoing EBIT margin</t>
  </si>
  <si>
    <t xml:space="preserve">LEVERAGE</t>
  </si>
  <si>
    <t xml:space="preserve">Total debt ($mm)</t>
  </si>
  <si>
    <t xml:space="preserve">Net debt ($mm)</t>
  </si>
  <si>
    <t xml:space="preserve">Lease-adjusted debt ($mm)</t>
  </si>
  <si>
    <t xml:space="preserve">Total debt / EBITDA</t>
  </si>
  <si>
    <t xml:space="preserve">≤ 3.5x</t>
  </si>
  <si>
    <t xml:space="preserve">Net debt / EBITDA</t>
  </si>
  <si>
    <t xml:space="preserve">≤ 3.0x</t>
  </si>
  <si>
    <t xml:space="preserve">Lease-adjusted debt / EBITDA</t>
  </si>
  <si>
    <t xml:space="preserve">≤ 4.0x</t>
  </si>
  <si>
    <t xml:space="preserve">Debt / total capital</t>
  </si>
  <si>
    <t xml:space="preserve">≤ 60%</t>
  </si>
  <si>
    <t xml:space="preserve">COVERAGE &amp; CASH FLOW</t>
  </si>
  <si>
    <t xml:space="preserve">EBITDA / interest expense</t>
  </si>
  <si>
    <t xml:space="preserve">≥ 3.0x</t>
  </si>
  <si>
    <t xml:space="preserve">Ongoing EBIT / interest expense</t>
  </si>
  <si>
    <t xml:space="preserve">≥ 2.0x</t>
  </si>
  <si>
    <t xml:space="preserve">Cash from operations / total debt</t>
  </si>
  <si>
    <t xml:space="preserve">≥ 15%</t>
  </si>
  <si>
    <t xml:space="preserve">Free cash flow / total debt</t>
  </si>
  <si>
    <t xml:space="preserve">≥ 5%</t>
  </si>
  <si>
    <t xml:space="preserve">LEGACY REVOLVER COVENANT (interest coverage ≥ 3.0x, tested quarterly on a rolling four-quarter basis)</t>
  </si>
  <si>
    <t xml:space="preserve">Covenant minimum</t>
  </si>
  <si>
    <t xml:space="preserve">Headroom vs. covenant</t>
  </si>
  <si>
    <t xml:space="preserve">Status (EBITDA / interest proxy)</t>
  </si>
  <si>
    <t xml:space="preserve">Covenant proxy: the credit agreement's own EBITDA and interest definitions may differ. The May 2026 amendment excluded the March 31, 2026 quarter from the test and required the facility to be refinanced before July 1, 2026; it was replaced by the ABL on June 16, 2026 (Q1 2026 10-Q; 8-K).</t>
  </si>
  <si>
    <t xml:space="preserve">Bank guideline column shows illustrative thresholds for a pass-rated corporate borrower, for comparison only.</t>
  </si>
  <si>
    <t xml:space="preserve">Pro Forma Capital Structure — After the June 2026 Refinancing</t>
  </si>
  <si>
    <t xml:space="preserve">Debt at June 30, 2026, less the $212mm repaid on July 1, 2026 from restricted cash. Market prices and yields as of Oct 15, 2026.</t>
  </si>
  <si>
    <t xml:space="preserve">Instrument</t>
  </si>
  <si>
    <t xml:space="preserve">Security</t>
  </si>
  <si>
    <t xml:space="preserve">Rate</t>
  </si>
  <si>
    <t xml:space="preserve">Maturity</t>
  </si>
  <si>
    <t xml:space="preserve">Principal ($mm)</t>
  </si>
  <si>
    <t xml:space="preserve">Annual interest ($mm)</t>
  </si>
  <si>
    <t xml:space="preserve">Price</t>
  </si>
  <si>
    <t xml:space="preserve">Yield to worst</t>
  </si>
  <si>
    <t xml:space="preserve">$2.0B asset-based revolving loan (ABL)</t>
  </si>
  <si>
    <t xml:space="preserve">1st lien (A/R, inventory, M&amp;E, IP)</t>
  </si>
  <si>
    <t xml:space="preserve">SOFR + 1.50–2.00%</t>
  </si>
  <si>
    <t xml:space="preserve">Jun 2031</t>
  </si>
  <si>
    <t xml:space="preserve">Drawn amount within other debt</t>
  </si>
  <si>
    <t xml:space="preserve">7.500% senior secured notes</t>
  </si>
  <si>
    <t xml:space="preserve">2nd lien</t>
  </si>
  <si>
    <t xml:space="preserve">Jul 1, 2031</t>
  </si>
  <si>
    <t xml:space="preserve">7.875% senior secured notes</t>
  </si>
  <si>
    <t xml:space="preserve">Jul 1, 2034</t>
  </si>
  <si>
    <t xml:space="preserve">4.750% senior notes</t>
  </si>
  <si>
    <t xml:space="preserve">Unsecured</t>
  </si>
  <si>
    <t xml:space="preserve">Feb 26, 2029</t>
  </si>
  <si>
    <t xml:space="preserve">6.125% senior notes</t>
  </si>
  <si>
    <t xml:space="preserve">Jun 15, 2030</t>
  </si>
  <si>
    <t xml:space="preserve">6.500% senior notes</t>
  </si>
  <si>
    <t xml:space="preserve">Jun 15, 2033</t>
  </si>
  <si>
    <t xml:space="preserve">ABL borrowings, legacy notes and other facilities</t>
  </si>
  <si>
    <t xml:space="preserve">Mixed</t>
  </si>
  <si>
    <t xml:space="preserve">Various</t>
  </si>
  <si>
    <t xml:space="preserve">Residual to reported total. Blended rate is an assumption: legacy notes at ~4–5.75% coupons and ABL draws at ~SOFR + 1.75%</t>
  </si>
  <si>
    <t xml:space="preserve">Total pro forma debt</t>
  </si>
  <si>
    <t xml:space="preserve">Rate column = weighted average cost of debt</t>
  </si>
  <si>
    <t xml:space="preserve">Pro forma cash</t>
  </si>
  <si>
    <t xml:space="preserve">Pro forma net debt</t>
  </si>
  <si>
    <t xml:space="preserve">Secured debt ahead of unsecured notes (2nd lien notes only)</t>
  </si>
  <si>
    <t xml:space="preserve">Run-rate interest coverage (LTM EBITDA / pro forma interest)</t>
  </si>
  <si>
    <t xml:space="preserve">Pro forma net debt / LTM EBITDA</t>
  </si>
  <si>
    <t xml:space="preserve">CREDIT RATINGS</t>
  </si>
  <si>
    <t xml:space="preserve">Agency</t>
  </si>
  <si>
    <t xml:space="preserve">Current rating</t>
  </si>
  <si>
    <t xml:space="preserve">Recent actions</t>
  </si>
  <si>
    <t xml:space="preserve">Moody's</t>
  </si>
  <si>
    <t xml:space="preserve">Ba3</t>
  </si>
  <si>
    <t xml:space="preserve">Baa3 → Ba1 (Apr 29, 2025, negative outlook); → Ba2 (Feb 2026); Ba3 as of Jun 5, 2026</t>
  </si>
  <si>
    <t xml:space="preserve">S&amp;P Global</t>
  </si>
  <si>
    <t xml:space="preserve">BB</t>
  </si>
  <si>
    <t xml:space="preserve">Downgraded to BB, negative outlook (Dec 15, 2025): adjusted leverage ~6x, refinancing needs</t>
  </si>
  <si>
    <t xml:space="preserve">Fitch</t>
  </si>
  <si>
    <t xml:space="preserve">BBB- → BB+ (May 5, 2025, negative outlook); BB as of Jun 5, 2026</t>
  </si>
  <si>
    <t xml:space="preserve">All three agencies rate Whirlpool below investment grade. Bond yields of 8.6%–11.8% price in single-B-like risk on the unsecured notes.</t>
  </si>
  <si>
    <t xml:space="preserve">Projections — Base Case vs. Stress Case</t>
  </si>
  <si>
    <t xml:space="preserve">Base case follows management's updated FY2026 guidance (sales ≈ $15.0B, ongoing EBIT ≈ $630mm, CFO ≈ $700mm). Stress case assumes a prolonged U.S. housing and appliance downturn. Blue = assumption.</t>
  </si>
  <si>
    <t xml:space="preserve">BASE CASE — management guidance, gradual margin recovery</t>
  </si>
  <si>
    <t xml:space="preserve">FY2026E</t>
  </si>
  <si>
    <t xml:space="preserve">FY2027E</t>
  </si>
  <si>
    <t xml:space="preserve">FY2028E</t>
  </si>
  <si>
    <t xml:space="preserve">Net sales growth</t>
  </si>
  <si>
    <t xml:space="preserve">Working capital release / (build)</t>
  </si>
  <si>
    <t xml:space="preserve">Restructuring and other cash costs</t>
  </si>
  <si>
    <t xml:space="preserve">Dividends ($0.90 per quarter × ~56mm shares)</t>
  </si>
  <si>
    <t xml:space="preserve">Cash tax rate on pretax income</t>
  </si>
  <si>
    <t xml:space="preserve">Rate on incremental borrowing</t>
  </si>
  <si>
    <t xml:space="preserve">Minimum cash balance</t>
  </si>
  <si>
    <t xml:space="preserve">Ongoing EBIT</t>
  </si>
  <si>
    <t xml:space="preserve">EBITDA</t>
  </si>
  <si>
    <t xml:space="preserve">Pretax income (ongoing)</t>
  </si>
  <si>
    <t xml:space="preserve">Cash taxes</t>
  </si>
  <si>
    <t xml:space="preserve">Cash from operations</t>
  </si>
  <si>
    <t xml:space="preserve">Free cash flow</t>
  </si>
  <si>
    <t xml:space="preserve">Free cash flow after dividends</t>
  </si>
  <si>
    <t xml:space="preserve">Net debt (year end)</t>
  </si>
  <si>
    <t xml:space="preserve">Total debt (net debt + minimum cash)</t>
  </si>
  <si>
    <t xml:space="preserve">EBITDA / interest</t>
  </si>
  <si>
    <t xml:space="preserve">Fixed charge coverage (ABL definition, approx.)</t>
  </si>
  <si>
    <t xml:space="preserve">ABL springing FCCR test (≥ 1.0x)</t>
  </si>
  <si>
    <t xml:space="preserve">Legacy 3.0x interest coverage test (reference)</t>
  </si>
  <si>
    <t xml:space="preserve">STRESS CASE — sales −5% then −3%, EBIT margin stuck at 2.5–3.0%, dividend maintained</t>
  </si>
  <si>
    <t xml:space="preserve">FY2026E interest = actual H1 2026 interest + half a year of pro forma run-rate interest (Capital Structure sheet).</t>
  </si>
  <si>
    <t xml:space="preserve">Later years: pro forma interest plus the incremental rate on any net debt above the pro forma level.</t>
  </si>
  <si>
    <t xml:space="preserve">FCCR approximation = (EBITDA − capex − cash taxes − dividends) ÷ interest; scheduled principal assumed nil before the 2029 maturity. The ABL test only applies if availability falls below the springing threshold.</t>
  </si>
  <si>
    <t xml:space="preserve">Net debt starts from FY2025A ($5,851mm); asset sale proceeds are not assumed, so net debt is higher than management's '&lt; $5.0B' year-end 2026 target.</t>
  </si>
  <si>
    <t xml:space="preserve">ABL Borrowing Base Estimate</t>
  </si>
  <si>
    <t xml:space="preserve">Estimate from December 31, 2025 balances; the actual borrowing base is set by field exams and appraisals and moves with seasonal working capital. Intellectual property is excluded here to stay conservative.</t>
  </si>
  <si>
    <t xml:space="preserve">Collateral</t>
  </si>
  <si>
    <t xml:space="preserve">Book value ($mm)</t>
  </si>
  <si>
    <t xml:space="preserve">Share in US &amp; Canada borrowers</t>
  </si>
  <si>
    <t xml:space="preserve">Eligible %</t>
  </si>
  <si>
    <t xml:space="preserve">Recovery value %</t>
  </si>
  <si>
    <t xml:space="preserve">Advance rate</t>
  </si>
  <si>
    <t xml:space="preserve">Borrowing base ($mm)</t>
  </si>
  <si>
    <t xml:space="preserve">Accounts receivable</t>
  </si>
  <si>
    <t xml:space="preserve">Inventory (net orderly liquidation value)</t>
  </si>
  <si>
    <t xml:space="preserve">Machinery &amp; equipment (orderly liquidation value)</t>
  </si>
  <si>
    <t xml:space="preserve">Estimated borrowing base</t>
  </si>
  <si>
    <t xml:space="preserve">ABL commitment</t>
  </si>
  <si>
    <t xml:space="preserve">Line cap (lower of commitment and borrowing base)</t>
  </si>
  <si>
    <t xml:space="preserve">Springing FCCR trigger: availability below</t>
  </si>
  <si>
    <t xml:space="preserve">Collateral recovery value / line cap (before advance rates)</t>
  </si>
  <si>
    <t xml:space="preserve">Proposed bank commitment (participation)</t>
  </si>
  <si>
    <t xml:space="preserve">Bank share of facility</t>
  </si>
  <si>
    <t xml:space="preserve">Advance rates and liquidation values are typical ABL market assumptions, not facility terms.</t>
  </si>
  <si>
    <t xml:space="preserve">US &amp; Canada share of assets is an assumption based on MDA North America being roughly two-thirds of sales.</t>
  </si>
  <si>
    <t xml:space="preserve">Facility terms (8-K, June 16, 2026): first-priority lien; SOFR + 1.50–2.00% based on availability; springing FCCR ≥ 1.00x when availability &lt; greater of 10% of line cap and $135mm.</t>
  </si>
  <si>
    <t xml:space="preserve">Internal Risk Rating Scorecard</t>
  </si>
  <si>
    <t xml:space="preserve">Score 1 (strongest) to 5 (weakest). Quantitative scores come from the metrics; qualitative scores are analyst judgment (blue).</t>
  </si>
  <si>
    <t xml:space="preserve">Factor</t>
  </si>
  <si>
    <t xml:space="preserve">Metric / basis</t>
  </si>
  <si>
    <t xml:space="preserve">Score (1–5)</t>
  </si>
  <si>
    <t xml:space="preserve">Weight</t>
  </si>
  <si>
    <t xml:space="preserve">Weighted</t>
  </si>
  <si>
    <t xml:space="preserve">Rationale</t>
  </si>
  <si>
    <t xml:space="preserve">Leverage: net debt / EBITDA (LTM)</t>
  </si>
  <si>
    <t xml:space="preserve">LTM EBITDA fell with the U.S. demand slump; leverage far above the 3.0x guideline</t>
  </si>
  <si>
    <t xml:space="preserve">Coverage: EBITDA / interest (LTM)</t>
  </si>
  <si>
    <t xml:space="preserve">Below the legacy 3.0x covenant; new secured notes raise run-rate interest</t>
  </si>
  <si>
    <t xml:space="preserve">Cash flow: FCF / debt (FY2026E base)</t>
  </si>
  <si>
    <t xml:space="preserve">Positive but thin; heavy first-half seasonal cash outflow</t>
  </si>
  <si>
    <t xml:space="preserve">Liquidity</t>
  </si>
  <si>
    <t xml:space="preserve">Refinanced; ABL + cash</t>
  </si>
  <si>
    <t xml:space="preserve">June 2026 refinancing removed near-term maturities; next bond maturity Feb 2029</t>
  </si>
  <si>
    <t xml:space="preserve">Business profile</t>
  </si>
  <si>
    <t xml:space="preserve">Market leader, cyclical</t>
  </si>
  <si>
    <t xml:space="preserve">#1 North American appliance maker with strong brands, but exposed to housing, tariffs and price competition</t>
  </si>
  <si>
    <t xml:space="preserve">Financial policy</t>
  </si>
  <si>
    <t xml:space="preserve">Dividend maintained</t>
  </si>
  <si>
    <t xml:space="preserve">Dividend cut in 2025 but still ~$200mm a year while leverage is high</t>
  </si>
  <si>
    <t xml:space="preserve">Weighted obligor score</t>
  </si>
  <si>
    <t xml:space="preserve">RATING OUTCOME</t>
  </si>
  <si>
    <t xml:space="preserve">Obligor risk rating (1–9 scale)</t>
  </si>
  <si>
    <t xml:space="preserve">Collateral notching for the ABL (recovery value / line cap)</t>
  </si>
  <si>
    <t xml:space="preserve">Lending is capped by the borrowing base, so recovery is measured against the line cap: ≥ 1.1x = one notch, ≥ 1.3x = two notches</t>
  </si>
  <si>
    <t xml:space="preserve">Rating scale</t>
  </si>
  <si>
    <t xml:space="preserve">Pass — strong</t>
  </si>
  <si>
    <t xml:space="preserve">Pass — good</t>
  </si>
  <si>
    <t xml:space="preserve">Pass — satisfactory</t>
  </si>
  <si>
    <t xml:space="preserve">Pass — acceptable</t>
  </si>
  <si>
    <t xml:space="preserve">Pass — watch</t>
  </si>
  <si>
    <t xml:space="preserve">Special mention</t>
  </si>
  <si>
    <t xml:space="preserve">Substandard</t>
  </si>
  <si>
    <t xml:space="preserve">Doubtful</t>
  </si>
  <si>
    <t xml:space="preserve">Sources</t>
  </si>
  <si>
    <t xml:space="preserve">FY2024–FY2025 financial statements, ongoing EBIT, 2026 guidance</t>
  </si>
  <si>
    <t xml:space="preserve">https://s202.q4cdn.com/229739679/files/doc_financials/2025/q4/12-31-2025-Press-Release.pdf</t>
  </si>
  <si>
    <t xml:space="preserve">FY2023 financial statements and ongoing EBIT reconciliation</t>
  </si>
  <si>
    <t xml:space="preserve">https://www.sec.gov/Archives/edgar/data/106640/000010664025000006/exhibit991pressrelease1231.htm</t>
  </si>
  <si>
    <t xml:space="preserve">Q1 2026 results</t>
  </si>
  <si>
    <t xml:space="preserve">https://whirlpool.mediaroom.com/2026-05-06-Whirlpool-Corporation-Announces-First-Quarter-Results-Accelerates-Cost-and-Pricing-Actions-to-Restore-Margins</t>
  </si>
  <si>
    <t xml:space="preserve">Q2 2026 results, June 30, 2026 balance sheet, updated 2026 guidance</t>
  </si>
  <si>
    <t xml:space="preserve">https://whirlpool.mediaroom.com/2026-08-03-Whirlpool-Corporation-Announces-Second-Quarter-Results</t>
  </si>
  <si>
    <t xml:space="preserve">Q1 2026 10-Q: credit facility, 3.0x interest coverage covenant, May 2026 amendment</t>
  </si>
  <si>
    <t xml:space="preserve">https://s202.q4cdn.com/229739679/files/doc_financials/2026/q1/90123cfc-fcc9-47d5-bf63-a4a60608339c.pdf</t>
  </si>
  <si>
    <t xml:space="preserve">8-K (June 16, 2026): $2.0B second-lien notes and $2.0B ABL facility</t>
  </si>
  <si>
    <t xml:space="preserve">https://www.stocktitan.net/sec-filings/WHR/8-k-whirlpool-corp-de-reports-material-event-798b4b9d9771.html</t>
  </si>
  <si>
    <t xml:space="preserve">Bond prices, yields and ratings (Oct 15–16, 2026)</t>
  </si>
  <si>
    <t xml:space="preserve">https://bondterminal.com/issuers/whirlpool-corporation</t>
  </si>
  <si>
    <t xml:space="preserve">FY2025 Form 10-K: rating history and covenant risk factor</t>
  </si>
  <si>
    <t xml:space="preserve">https://www.sec.gov/Archives/edgar/data/106640/000010664026000009/whr-20251231.htm</t>
  </si>
  <si>
    <t xml:space="preserve">Dividend declaration ($0.90 per quarter, Feb 2026)</t>
  </si>
  <si>
    <t xml:space="preserve">https://www.stocktitan.net/news/WHR/whirlpool-corporation-declares-quarterly-yk8b10dyligh.html</t>
  </si>
  <si>
    <t xml:space="preserve">S&amp;P, Moody's and Fitch 2025 rating actions</t>
  </si>
  <si>
    <t xml:space="preserve">https://ts2.tech/en/whirlpool-stock-nyse-whr-on-dec-19-2025-credit-downgrade-itc-patent-fight-india-stake-sale-dividend-outlook-and-2026-forecasts/</t>
  </si>
</sst>
</file>

<file path=xl/styles.xml><?xml version="1.0" encoding="utf-8"?>
<styleSheet xmlns="http://schemas.openxmlformats.org/spreadsheetml/2006/main">
  <numFmts count="10">
    <numFmt numFmtId="164" formatCode="General"/>
    <numFmt numFmtId="165" formatCode="\$#,##0;&quot;($&quot;#,##0\);\-"/>
    <numFmt numFmtId="166" formatCode="0.0%;\(0.0%\);\-"/>
    <numFmt numFmtId="167" formatCode="0.0\x;\(0.0&quot;x)&quot;;\-"/>
    <numFmt numFmtId="168" formatCode="0.000%"/>
    <numFmt numFmtId="169" formatCode="0.000"/>
    <numFmt numFmtId="170" formatCode="0.00%"/>
    <numFmt numFmtId="171" formatCode="0"/>
    <numFmt numFmtId="172" formatCode="0.00"/>
    <numFmt numFmtId="173"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95959"/>
      <name val="Arial"/>
      <family val="0"/>
      <charset val="1"/>
    </font>
    <font>
      <b val="true"/>
      <sz val="10"/>
      <color rgb="FF1F3A5F"/>
      <name val="Arial"/>
      <family val="0"/>
      <charset val="1"/>
    </font>
    <font>
      <b val="true"/>
      <sz val="10"/>
      <name val="Arial"/>
      <family val="0"/>
      <charset val="1"/>
    </font>
    <font>
      <b val="true"/>
      <sz val="10"/>
      <color rgb="FF000000"/>
      <name val="Arial"/>
      <family val="0"/>
      <charset val="1"/>
    </font>
    <font>
      <b val="true"/>
      <sz val="10"/>
      <color rgb="FF008000"/>
      <name val="Arial"/>
      <family val="0"/>
      <charset val="1"/>
    </font>
    <font>
      <sz val="1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4"/>
      <color rgb="FF1F3A5F"/>
      <name val="Arial"/>
      <family val="0"/>
      <charset val="1"/>
    </font>
    <font>
      <b val="true"/>
      <sz val="10"/>
      <color rgb="FFFFFFFF"/>
      <name val="Arial"/>
      <family val="0"/>
      <charset val="1"/>
    </font>
    <font>
      <sz val="10"/>
      <name val="Arial"/>
      <family val="2"/>
    </font>
    <font>
      <b val="true"/>
      <sz val="10"/>
      <color rgb="FF0000FF"/>
      <name val="Arial"/>
      <family val="0"/>
      <charset val="1"/>
    </font>
    <font>
      <u val="single"/>
      <sz val="9"/>
      <color rgb="FF0563C1"/>
      <name val="Arial"/>
      <family val="0"/>
      <charset val="1"/>
    </font>
  </fonts>
  <fills count="6">
    <fill>
      <patternFill patternType="none"/>
    </fill>
    <fill>
      <patternFill patternType="gray125"/>
    </fill>
    <fill>
      <patternFill patternType="solid">
        <fgColor rgb="FFDCE6F1"/>
        <bgColor rgb="FFE2EFDA"/>
      </patternFill>
    </fill>
    <fill>
      <patternFill patternType="solid">
        <fgColor rgb="FFFFFF00"/>
        <bgColor rgb="FFFFFF00"/>
      </patternFill>
    </fill>
    <fill>
      <patternFill patternType="solid">
        <fgColor rgb="FF1F3A5F"/>
        <bgColor rgb="FF333333"/>
      </patternFill>
    </fill>
    <fill>
      <patternFill patternType="solid">
        <fgColor rgb="FFE2EFDA"/>
        <bgColor rgb="FFDCE6F1"/>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true" applyProtection="false">
      <alignment horizontal="center" vertical="bottom"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5"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5" fontId="12" fillId="5"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2" fillId="5"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7" fontId="12" fillId="5"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70" fontId="7"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7" fillId="5"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5" fontId="17" fillId="3"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2" fontId="7" fillId="5" borderId="1" xfId="0" applyFont="true" applyBorder="true" applyAlignment="false" applyProtection="false">
      <alignment horizontal="general" vertical="bottom" textRotation="0" wrapText="false" indent="0" shrinkToFit="false"/>
      <protection locked="true" hidden="false"/>
    </xf>
    <xf numFmtId="171" fontId="7" fillId="5"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lef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hyperlink" Target="https://s202.q4cdn.com/229739679/files/doc_financials/2025/q4/12-31-2025-Press-Release.pdf" TargetMode="External"/><Relationship Id="rId2" Type="http://schemas.openxmlformats.org/officeDocument/2006/relationships/hyperlink" Target="https://www.sec.gov/Archives/edgar/data/106640/000010664025000006/exhibit991pressrelease1231.htm" TargetMode="External"/><Relationship Id="rId3" Type="http://schemas.openxmlformats.org/officeDocument/2006/relationships/hyperlink" Target="https://whirlpool.mediaroom.com/2026-05-06-Whirlpool-Corporation-Announces-First-Quarter-Results-Accelerates-Cost-and-Pricing-Actions-to-Restore-Margins" TargetMode="External"/><Relationship Id="rId4" Type="http://schemas.openxmlformats.org/officeDocument/2006/relationships/hyperlink" Target="https://whirlpool.mediaroom.com/2026-08-03-Whirlpool-Corporation-Announces-Second-Quarter-Results" TargetMode="External"/><Relationship Id="rId5" Type="http://schemas.openxmlformats.org/officeDocument/2006/relationships/hyperlink" Target="https://s202.q4cdn.com/229739679/files/doc_financials/2026/q1/90123cfc-fcc9-47d5-bf63-a4a60608339c.pdf" TargetMode="External"/><Relationship Id="rId6" Type="http://schemas.openxmlformats.org/officeDocument/2006/relationships/hyperlink" Target="https://www.stocktitan.net/sec-filings/WHR/8-k-whirlpool-corp-de-reports-material-event-798b4b9d9771.html" TargetMode="External"/><Relationship Id="rId7" Type="http://schemas.openxmlformats.org/officeDocument/2006/relationships/hyperlink" Target="https://bondterminal.com/issuers/whirlpool-corporation" TargetMode="External"/><Relationship Id="rId8" Type="http://schemas.openxmlformats.org/officeDocument/2006/relationships/hyperlink" Target="https://www.sec.gov/Archives/edgar/data/106640/000010664026000009/whr-20251231.htm" TargetMode="External"/><Relationship Id="rId9" Type="http://schemas.openxmlformats.org/officeDocument/2006/relationships/hyperlink" Target="https://www.stocktitan.net/news/WHR/whirlpool-corporation-declares-quarterly-yk8b10dyligh.html" TargetMode="External"/><Relationship Id="rId10" Type="http://schemas.openxmlformats.org/officeDocument/2006/relationships/hyperlink" Target="https://ts2.tech/en/whirlpool-stock-nyse-whr-on-dec-19-2025-credit-downgrade-itc-patent-fight-india-stake-sale-dividend-outlook-and-2026-forecast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5"/>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row>
    <row r="5" customFormat="false" ht="15" hidden="false" customHeight="false" outlineLevel="0" collapsed="false">
      <c r="A5" s="5" t="s">
        <v>3</v>
      </c>
      <c r="B5" s="6" t="s">
        <v>4</v>
      </c>
    </row>
    <row r="6" customFormat="false" ht="15" hidden="false" customHeight="false" outlineLevel="0" collapsed="false">
      <c r="A6" s="5" t="s">
        <v>5</v>
      </c>
      <c r="B6" s="6" t="s">
        <v>6</v>
      </c>
    </row>
    <row r="7" customFormat="false" ht="15" hidden="false" customHeight="false" outlineLevel="0" collapsed="false">
      <c r="A7" s="5" t="s">
        <v>7</v>
      </c>
      <c r="B7" s="7" t="str">
        <f aca="false">'Risk Rating'!B14&amp;" — "&amp;'Risk Rating'!C14</f>
        <v>7 — Special mention</v>
      </c>
    </row>
    <row r="8" customFormat="false" ht="15" hidden="false" customHeight="false" outlineLevel="0" collapsed="false">
      <c r="A8" s="5" t="s">
        <v>8</v>
      </c>
      <c r="B8" s="7" t="str">
        <f aca="false">'Risk Rating'!B16&amp;" — "&amp;'Risk Rating'!C16</f>
        <v>6 — Pass — watch</v>
      </c>
    </row>
    <row r="10" customFormat="false" ht="15" hidden="false" customHeight="false" outlineLevel="0" collapsed="false">
      <c r="A10" s="3" t="s">
        <v>9</v>
      </c>
      <c r="B10" s="4"/>
      <c r="C10" s="4"/>
    </row>
    <row r="11" customFormat="false" ht="15" hidden="false" customHeight="false" outlineLevel="0" collapsed="false">
      <c r="A11" s="8" t="s">
        <v>10</v>
      </c>
      <c r="B11" s="9" t="n">
        <f aca="false">Financials!G6</f>
        <v>14921</v>
      </c>
    </row>
    <row r="12" customFormat="false" ht="15" hidden="false" customHeight="false" outlineLevel="0" collapsed="false">
      <c r="A12" s="8" t="s">
        <v>11</v>
      </c>
      <c r="B12" s="9" t="n">
        <f aca="false">'Credit Metrics'!E6</f>
        <v>781</v>
      </c>
    </row>
    <row r="13" customFormat="false" ht="15" hidden="false" customHeight="false" outlineLevel="0" collapsed="false">
      <c r="A13" s="8" t="s">
        <v>12</v>
      </c>
      <c r="B13" s="10" t="n">
        <f aca="false">'Credit Metrics'!E7</f>
        <v>0.0523423363045372</v>
      </c>
    </row>
    <row r="14" customFormat="false" ht="15" hidden="false" customHeight="false" outlineLevel="0" collapsed="false">
      <c r="A14" s="8" t="s">
        <v>13</v>
      </c>
      <c r="B14" s="11" t="n">
        <f aca="false">'Credit Metrics'!E14</f>
        <v>7.46350832266325</v>
      </c>
    </row>
    <row r="15" customFormat="false" ht="15" hidden="false" customHeight="false" outlineLevel="0" collapsed="false">
      <c r="A15" s="8" t="s">
        <v>14</v>
      </c>
      <c r="B15" s="11" t="n">
        <f aca="false">'Credit Metrics'!E18</f>
        <v>2.46372239747634</v>
      </c>
    </row>
    <row r="16" customFormat="false" ht="15" hidden="false" customHeight="false" outlineLevel="0" collapsed="false">
      <c r="A16" s="8" t="s">
        <v>15</v>
      </c>
      <c r="B16" s="11" t="n">
        <f aca="false">'Capital Structure'!E17</f>
        <v>1.86868928554338</v>
      </c>
    </row>
    <row r="17" customFormat="false" ht="15" hidden="false" customHeight="false" outlineLevel="0" collapsed="false">
      <c r="A17" s="8" t="s">
        <v>16</v>
      </c>
      <c r="B17" s="11" t="n">
        <f aca="false">Projections!E28</f>
        <v>4.57252167174956</v>
      </c>
    </row>
    <row r="18" customFormat="false" ht="15" hidden="false" customHeight="false" outlineLevel="0" collapsed="false">
      <c r="A18" s="8" t="s">
        <v>17</v>
      </c>
      <c r="B18" s="11" t="n">
        <f aca="false">Projections!E62</f>
        <v>7.9937454766714</v>
      </c>
    </row>
    <row r="19" customFormat="false" ht="15" hidden="false" customHeight="false" outlineLevel="0" collapsed="false">
      <c r="A19" s="8" t="s">
        <v>18</v>
      </c>
      <c r="B19" s="9" t="n">
        <f aca="false">'ABL Collateral'!G8</f>
        <v>1453.4949</v>
      </c>
    </row>
    <row r="20" customFormat="false" ht="15" hidden="false" customHeight="false" outlineLevel="0" collapsed="false">
      <c r="A20" s="8" t="s">
        <v>19</v>
      </c>
      <c r="B20" s="9" t="n">
        <f aca="false">'ABL Collateral'!B12</f>
        <v>145.34949</v>
      </c>
    </row>
    <row r="22" customFormat="false" ht="15" hidden="false" customHeight="false" outlineLevel="0" collapsed="false">
      <c r="A22" s="3" t="s">
        <v>20</v>
      </c>
      <c r="B22" s="4"/>
      <c r="C22" s="4"/>
    </row>
    <row r="23" customFormat="false" ht="15" hidden="false" customHeight="false" outlineLevel="0" collapsed="false">
      <c r="A23" s="8" t="s">
        <v>21</v>
      </c>
    </row>
    <row r="24" customFormat="false" ht="15" hidden="false" customHeight="false" outlineLevel="0" collapsed="false">
      <c r="A24" s="8" t="s">
        <v>22</v>
      </c>
    </row>
    <row r="25" customFormat="false" ht="15" hidden="false" customHeight="false" outlineLevel="0" collapsed="false">
      <c r="A25" s="8" t="s">
        <v>23</v>
      </c>
    </row>
    <row r="26" customFormat="false" ht="15" hidden="false" customHeight="false" outlineLevel="0" collapsed="false">
      <c r="A26" s="8" t="s">
        <v>24</v>
      </c>
    </row>
    <row r="27" customFormat="false" ht="15" hidden="false" customHeight="false" outlineLevel="0" collapsed="false">
      <c r="A27" s="8" t="s">
        <v>25</v>
      </c>
    </row>
    <row r="28" customFormat="false" ht="15" hidden="false" customHeight="false" outlineLevel="0" collapsed="false">
      <c r="A28" s="8" t="s">
        <v>26</v>
      </c>
    </row>
    <row r="29" customFormat="false" ht="15" hidden="false" customHeight="false" outlineLevel="0" collapsed="false">
      <c r="A29" s="8" t="s">
        <v>27</v>
      </c>
    </row>
    <row r="31" customFormat="false" ht="15" hidden="false" customHeight="false" outlineLevel="0" collapsed="false">
      <c r="A31" s="3" t="s">
        <v>28</v>
      </c>
      <c r="B31" s="4"/>
      <c r="C31" s="4"/>
    </row>
    <row r="32" customFormat="false" ht="15" hidden="false" customHeight="false" outlineLevel="0" collapsed="false">
      <c r="A32" s="12" t="s">
        <v>29</v>
      </c>
    </row>
    <row r="33" customFormat="false" ht="15" hidden="false" customHeight="false" outlineLevel="0" collapsed="false">
      <c r="A33" s="13" t="s">
        <v>30</v>
      </c>
    </row>
    <row r="34" customFormat="false" ht="15" hidden="false" customHeight="false" outlineLevel="0" collapsed="false">
      <c r="A34" s="14" t="s">
        <v>31</v>
      </c>
    </row>
    <row r="35" customFormat="false" ht="15" hidden="false" customHeight="false" outlineLevel="0" collapsed="false">
      <c r="A35" s="15" t="s">
        <v>32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2"/>
    <col collapsed="false" customWidth="true" hidden="false" outlineLevel="0" max="8" min="8" style="0" width="60"/>
  </cols>
  <sheetData>
    <row r="1" customFormat="false" ht="17.35" hidden="false" customHeight="false" outlineLevel="0" collapsed="false">
      <c r="A1" s="16" t="s">
        <v>33</v>
      </c>
    </row>
    <row r="2" customFormat="false" ht="15" hidden="false" customHeight="false" outlineLevel="0" collapsed="false">
      <c r="A2" s="2" t="s">
        <v>34</v>
      </c>
    </row>
    <row r="4" customFormat="false" ht="15" hidden="false" customHeight="false" outlineLevel="0" collapsed="false">
      <c r="A4" s="17" t="s">
        <v>35</v>
      </c>
      <c r="B4" s="18" t="s">
        <v>36</v>
      </c>
      <c r="C4" s="18" t="s">
        <v>37</v>
      </c>
      <c r="D4" s="18" t="s">
        <v>38</v>
      </c>
      <c r="E4" s="18" t="s">
        <v>39</v>
      </c>
      <c r="F4" s="18" t="s">
        <v>40</v>
      </c>
      <c r="G4" s="18" t="s">
        <v>41</v>
      </c>
    </row>
    <row r="5" customFormat="false" ht="15" hidden="false" customHeight="false" outlineLevel="0" collapsed="false">
      <c r="A5" s="3" t="s">
        <v>42</v>
      </c>
      <c r="B5" s="4"/>
      <c r="C5" s="4"/>
      <c r="D5" s="4"/>
      <c r="E5" s="4"/>
      <c r="F5" s="4"/>
      <c r="G5" s="4"/>
    </row>
    <row r="6" customFormat="false" ht="15" hidden="false" customHeight="false" outlineLevel="0" collapsed="false">
      <c r="A6" s="8" t="s">
        <v>43</v>
      </c>
      <c r="B6" s="19" t="n">
        <v>19455</v>
      </c>
      <c r="C6" s="19" t="n">
        <v>16607</v>
      </c>
      <c r="D6" s="19" t="n">
        <v>15524</v>
      </c>
      <c r="E6" s="19" t="n">
        <v>7393</v>
      </c>
      <c r="F6" s="19" t="n">
        <v>6790</v>
      </c>
      <c r="G6" s="20" t="n">
        <f aca="false">D6-E6+F6</f>
        <v>14921</v>
      </c>
    </row>
    <row r="7" customFormat="false" ht="15" hidden="false" customHeight="false" outlineLevel="0" collapsed="false">
      <c r="A7" s="8" t="s">
        <v>44</v>
      </c>
      <c r="B7" s="19" t="n">
        <v>1015</v>
      </c>
      <c r="C7" s="19" t="n">
        <v>143</v>
      </c>
      <c r="D7" s="19" t="n">
        <v>838</v>
      </c>
      <c r="E7" s="19" t="n">
        <v>389</v>
      </c>
      <c r="F7" s="19" t="n">
        <v>181</v>
      </c>
      <c r="G7" s="20" t="n">
        <f aca="false">D7-E7+F7</f>
        <v>630</v>
      </c>
    </row>
    <row r="8" customFormat="false" ht="15" hidden="false" customHeight="false" outlineLevel="0" collapsed="false">
      <c r="A8" s="8" t="s">
        <v>45</v>
      </c>
      <c r="B8" s="19" t="n">
        <v>1191</v>
      </c>
      <c r="C8" s="19" t="n">
        <v>887</v>
      </c>
      <c r="D8" s="19" t="n">
        <v>729</v>
      </c>
      <c r="E8" s="19" t="n">
        <v>414</v>
      </c>
      <c r="F8" s="19" t="n">
        <v>106</v>
      </c>
      <c r="G8" s="20" t="n">
        <f aca="false">D8-E8+F8</f>
        <v>421</v>
      </c>
    </row>
    <row r="9" customFormat="false" ht="15" hidden="false" customHeight="false" outlineLevel="0" collapsed="false">
      <c r="A9" s="8" t="s">
        <v>46</v>
      </c>
      <c r="B9" s="19" t="n">
        <v>361</v>
      </c>
      <c r="C9" s="19" t="n">
        <v>333</v>
      </c>
      <c r="D9" s="19" t="n">
        <v>338</v>
      </c>
      <c r="E9" s="19" t="n">
        <v>163</v>
      </c>
      <c r="F9" s="19" t="n">
        <v>185</v>
      </c>
      <c r="G9" s="20" t="n">
        <f aca="false">D9-E9+F9</f>
        <v>360</v>
      </c>
    </row>
    <row r="10" customFormat="false" ht="15" hidden="false" customHeight="false" outlineLevel="0" collapsed="false">
      <c r="A10" s="8" t="s">
        <v>47</v>
      </c>
      <c r="B10" s="19" t="n">
        <v>351</v>
      </c>
      <c r="C10" s="19" t="n">
        <v>358</v>
      </c>
      <c r="D10" s="19" t="n">
        <v>341</v>
      </c>
      <c r="E10" s="19" t="n">
        <v>164</v>
      </c>
      <c r="F10" s="19" t="n">
        <v>140</v>
      </c>
      <c r="G10" s="20" t="n">
        <f aca="false">D10-E10+F10</f>
        <v>317</v>
      </c>
    </row>
    <row r="11" customFormat="false" ht="15" hidden="false" customHeight="false" outlineLevel="0" collapsed="false">
      <c r="A11" s="8" t="s">
        <v>48</v>
      </c>
      <c r="B11" s="19" t="n">
        <v>77</v>
      </c>
      <c r="C11" s="19" t="n">
        <v>10</v>
      </c>
      <c r="D11" s="19" t="n">
        <v>142</v>
      </c>
    </row>
    <row r="12" customFormat="false" ht="15" hidden="false" customHeight="false" outlineLevel="0" collapsed="false">
      <c r="A12" s="8" t="s">
        <v>49</v>
      </c>
      <c r="B12" s="19" t="n">
        <v>481</v>
      </c>
      <c r="C12" s="19" t="n">
        <v>-323</v>
      </c>
      <c r="D12" s="19" t="n">
        <v>318</v>
      </c>
    </row>
    <row r="13" customFormat="false" ht="15" hidden="false" customHeight="false" outlineLevel="0" collapsed="false">
      <c r="A13" s="8" t="s">
        <v>50</v>
      </c>
      <c r="B13" s="19" t="n">
        <v>915</v>
      </c>
      <c r="C13" s="19" t="n">
        <v>835</v>
      </c>
      <c r="D13" s="19" t="n">
        <v>467</v>
      </c>
      <c r="E13" s="19" t="n">
        <v>-702</v>
      </c>
      <c r="F13" s="19" t="n">
        <v>-947</v>
      </c>
      <c r="G13" s="20" t="n">
        <f aca="false">D13-E13+F13</f>
        <v>222</v>
      </c>
    </row>
    <row r="14" customFormat="false" ht="15" hidden="false" customHeight="false" outlineLevel="0" collapsed="false">
      <c r="A14" s="8" t="s">
        <v>51</v>
      </c>
      <c r="B14" s="19" t="n">
        <v>549</v>
      </c>
      <c r="C14" s="19" t="n">
        <v>451</v>
      </c>
      <c r="D14" s="19" t="n">
        <v>389</v>
      </c>
      <c r="E14" s="19" t="n">
        <v>154</v>
      </c>
      <c r="F14" s="19" t="n">
        <v>162</v>
      </c>
      <c r="G14" s="20" t="n">
        <f aca="false">D14-E14+F14</f>
        <v>397</v>
      </c>
    </row>
    <row r="15" customFormat="false" ht="15" hidden="false" customHeight="false" outlineLevel="0" collapsed="false">
      <c r="A15" s="8" t="s">
        <v>52</v>
      </c>
      <c r="B15" s="19" t="n">
        <v>384</v>
      </c>
      <c r="C15" s="19" t="n">
        <v>384</v>
      </c>
      <c r="D15" s="19" t="n">
        <v>299</v>
      </c>
    </row>
    <row r="16" customFormat="false" ht="15" hidden="false" customHeight="false" outlineLevel="0" collapsed="false">
      <c r="A16" s="5" t="s">
        <v>53</v>
      </c>
      <c r="B16" s="21" t="n">
        <f aca="false">B13-B14</f>
        <v>366</v>
      </c>
      <c r="C16" s="21" t="n">
        <f aca="false">C13-C14</f>
        <v>384</v>
      </c>
      <c r="D16" s="21" t="n">
        <f aca="false">D13-D14</f>
        <v>78</v>
      </c>
      <c r="E16" s="21" t="n">
        <f aca="false">E13-E14</f>
        <v>-856</v>
      </c>
      <c r="F16" s="21" t="n">
        <f aca="false">F13-F14</f>
        <v>-1109</v>
      </c>
      <c r="G16" s="21" t="n">
        <f aca="false">G13-G14</f>
        <v>-175</v>
      </c>
    </row>
    <row r="18" customFormat="false" ht="15" hidden="false" customHeight="false" outlineLevel="0" collapsed="false">
      <c r="A18" s="3" t="s">
        <v>54</v>
      </c>
      <c r="B18" s="4"/>
      <c r="C18" s="4"/>
      <c r="D18" s="4"/>
      <c r="E18" s="4"/>
      <c r="F18" s="4"/>
      <c r="G18" s="4"/>
    </row>
    <row r="19" customFormat="false" ht="15" hidden="false" customHeight="false" outlineLevel="0" collapsed="false">
      <c r="A19" s="8" t="s">
        <v>55</v>
      </c>
      <c r="B19" s="19" t="n">
        <v>1570</v>
      </c>
      <c r="C19" s="19" t="n">
        <v>1275</v>
      </c>
      <c r="D19" s="19" t="n">
        <v>669</v>
      </c>
      <c r="G19" s="22" t="n">
        <v>1239</v>
      </c>
      <c r="H19" s="2" t="s">
        <v>56</v>
      </c>
    </row>
    <row r="20" customFormat="false" ht="15" hidden="false" customHeight="false" outlineLevel="0" collapsed="false">
      <c r="A20" s="8" t="s">
        <v>57</v>
      </c>
      <c r="B20" s="19" t="n">
        <v>17</v>
      </c>
      <c r="C20" s="19" t="n">
        <v>18</v>
      </c>
      <c r="D20" s="19" t="n">
        <v>351</v>
      </c>
      <c r="G20" s="22" t="n">
        <v>16</v>
      </c>
    </row>
    <row r="21" customFormat="false" ht="15" hidden="false" customHeight="false" outlineLevel="0" collapsed="false">
      <c r="A21" s="8" t="s">
        <v>58</v>
      </c>
      <c r="B21" s="19" t="n">
        <v>800</v>
      </c>
      <c r="C21" s="19" t="n">
        <v>1850</v>
      </c>
      <c r="D21" s="19" t="n">
        <v>586</v>
      </c>
      <c r="G21" s="22" t="n">
        <v>212</v>
      </c>
    </row>
    <row r="22" customFormat="false" ht="15" hidden="false" customHeight="false" outlineLevel="0" collapsed="false">
      <c r="A22" s="8" t="s">
        <v>59</v>
      </c>
      <c r="B22" s="19" t="n">
        <v>6414</v>
      </c>
      <c r="C22" s="19" t="n">
        <v>4758</v>
      </c>
      <c r="D22" s="19" t="n">
        <v>5583</v>
      </c>
      <c r="G22" s="22" t="n">
        <v>6840</v>
      </c>
    </row>
    <row r="23" customFormat="false" ht="15" hidden="false" customHeight="false" outlineLevel="0" collapsed="false">
      <c r="A23" s="8" t="s">
        <v>60</v>
      </c>
      <c r="B23" s="19" t="n">
        <v>612</v>
      </c>
      <c r="C23" s="19" t="n">
        <v>711</v>
      </c>
      <c r="D23" s="19" t="n">
        <v>669</v>
      </c>
      <c r="G23" s="23" t="n">
        <f aca="false">D23</f>
        <v>669</v>
      </c>
      <c r="H23" s="2" t="s">
        <v>61</v>
      </c>
    </row>
    <row r="24" customFormat="false" ht="15" hidden="false" customHeight="false" outlineLevel="0" collapsed="false">
      <c r="A24" s="8" t="s">
        <v>62</v>
      </c>
      <c r="B24" s="19" t="n">
        <v>2537</v>
      </c>
      <c r="C24" s="19" t="n">
        <v>2933</v>
      </c>
      <c r="D24" s="19" t="n">
        <v>2715</v>
      </c>
      <c r="G24" s="22" t="n">
        <v>3923</v>
      </c>
    </row>
    <row r="25" customFormat="false" ht="15" hidden="false" customHeight="false" outlineLevel="0" collapsed="false">
      <c r="A25" s="8" t="s">
        <v>63</v>
      </c>
      <c r="B25" s="19" t="n">
        <v>1529</v>
      </c>
      <c r="C25" s="19" t="n">
        <v>1317</v>
      </c>
      <c r="D25" s="19" t="n">
        <v>1276</v>
      </c>
      <c r="G25" s="23" t="n">
        <f aca="false">D25</f>
        <v>1276</v>
      </c>
      <c r="H25" s="2" t="s">
        <v>61</v>
      </c>
    </row>
    <row r="26" customFormat="false" ht="15" hidden="false" customHeight="false" outlineLevel="0" collapsed="false">
      <c r="A26" s="8" t="s">
        <v>64</v>
      </c>
      <c r="B26" s="19" t="n">
        <v>2247</v>
      </c>
      <c r="C26" s="19" t="n">
        <v>2035</v>
      </c>
      <c r="D26" s="19" t="n">
        <v>2307</v>
      </c>
      <c r="G26" s="23" t="n">
        <f aca="false">D26</f>
        <v>2307</v>
      </c>
      <c r="H26" s="2" t="s">
        <v>61</v>
      </c>
    </row>
    <row r="27" customFormat="false" ht="15" hidden="false" customHeight="false" outlineLevel="0" collapsed="false">
      <c r="A27" s="8" t="s">
        <v>65</v>
      </c>
      <c r="B27" s="19" t="n">
        <v>2234</v>
      </c>
      <c r="C27" s="19" t="n">
        <v>2275</v>
      </c>
      <c r="D27" s="19" t="n">
        <v>2194</v>
      </c>
      <c r="G27" s="23" t="n">
        <f aca="false">D27</f>
        <v>2194</v>
      </c>
      <c r="H27" s="2" t="s">
        <v>61</v>
      </c>
    </row>
    <row r="28" customFormat="false" ht="15" hidden="false" customHeight="false" outlineLevel="0" collapsed="false">
      <c r="A28" s="8" t="s">
        <v>66</v>
      </c>
      <c r="B28" s="19" t="n">
        <v>3598</v>
      </c>
      <c r="C28" s="19" t="n">
        <v>3530</v>
      </c>
      <c r="D28" s="19" t="n">
        <v>3704</v>
      </c>
      <c r="G28" s="23" t="n">
        <f aca="false">D28</f>
        <v>3704</v>
      </c>
      <c r="H28" s="2" t="s">
        <v>61</v>
      </c>
    </row>
    <row r="29" customFormat="false" ht="15" hidden="false" customHeight="false" outlineLevel="0" collapsed="false">
      <c r="A29" s="5" t="s">
        <v>67</v>
      </c>
      <c r="B29" s="21" t="n">
        <f aca="false">B20+B21+B22</f>
        <v>7231</v>
      </c>
      <c r="C29" s="21" t="n">
        <f aca="false">C20+C21+C22</f>
        <v>6626</v>
      </c>
      <c r="D29" s="21" t="n">
        <f aca="false">D20+D21+D22</f>
        <v>6520</v>
      </c>
      <c r="G29" s="21" t="n">
        <f aca="false">G20+G21+G22</f>
        <v>7068</v>
      </c>
    </row>
    <row r="31" customFormat="false" ht="15" hidden="false" customHeight="false" outlineLevel="0" collapsed="false">
      <c r="A31" s="2" t="s">
        <v>68</v>
      </c>
    </row>
    <row r="32" customFormat="false" ht="15" hidden="false" customHeight="false" outlineLevel="0" collapsed="false">
      <c r="A32" s="2" t="s">
        <v>69</v>
      </c>
    </row>
    <row r="33" customFormat="false" ht="15" hidden="false" customHeight="false" outlineLevel="0" collapsed="false">
      <c r="A33" s="2" t="s">
        <v>70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3"/>
    <col collapsed="false" customWidth="true" hidden="false" outlineLevel="0" max="6" min="6" style="0" width="20"/>
  </cols>
  <sheetData>
    <row r="1" customFormat="false" ht="17.35" hidden="false" customHeight="false" outlineLevel="0" collapsed="false">
      <c r="A1" s="16" t="s">
        <v>71</v>
      </c>
    </row>
    <row r="2" customFormat="false" ht="15" hidden="false" customHeight="false" outlineLevel="0" collapsed="false">
      <c r="A2" s="2" t="s">
        <v>72</v>
      </c>
    </row>
    <row r="4" customFormat="false" ht="23.85" hidden="false" customHeight="false" outlineLevel="0" collapsed="false">
      <c r="A4" s="17" t="s">
        <v>73</v>
      </c>
      <c r="B4" s="18" t="s">
        <v>36</v>
      </c>
      <c r="C4" s="18" t="s">
        <v>37</v>
      </c>
      <c r="D4" s="18" t="s">
        <v>38</v>
      </c>
      <c r="E4" s="18" t="s">
        <v>41</v>
      </c>
      <c r="F4" s="18" t="s">
        <v>74</v>
      </c>
    </row>
    <row r="5" customFormat="false" ht="15" hidden="false" customHeight="false" outlineLevel="0" collapsed="false">
      <c r="A5" s="3" t="s">
        <v>75</v>
      </c>
      <c r="B5" s="4"/>
      <c r="C5" s="4"/>
      <c r="D5" s="4"/>
      <c r="E5" s="4"/>
      <c r="F5" s="4"/>
    </row>
    <row r="6" customFormat="false" ht="15" hidden="false" customHeight="false" outlineLevel="0" collapsed="false">
      <c r="A6" s="5" t="s">
        <v>76</v>
      </c>
      <c r="B6" s="24" t="n">
        <f aca="false">Financials!B8+Financials!B9</f>
        <v>1552</v>
      </c>
      <c r="C6" s="24" t="n">
        <f aca="false">Financials!C8+Financials!C9</f>
        <v>1220</v>
      </c>
      <c r="D6" s="24" t="n">
        <f aca="false">Financials!D8+Financials!D9</f>
        <v>1067</v>
      </c>
      <c r="E6" s="20" t="n">
        <f aca="false">Financials!G8+Financials!G9</f>
        <v>781</v>
      </c>
    </row>
    <row r="7" customFormat="false" ht="15" hidden="false" customHeight="false" outlineLevel="0" collapsed="false">
      <c r="A7" s="8" t="s">
        <v>77</v>
      </c>
      <c r="B7" s="25" t="n">
        <f aca="false">B6/Financials!B6</f>
        <v>0.0797738370598818</v>
      </c>
      <c r="C7" s="25" t="n">
        <f aca="false">C6/Financials!C6</f>
        <v>0.0734629975311616</v>
      </c>
      <c r="D7" s="25" t="n">
        <f aca="false">D6/Financials!D6</f>
        <v>0.0687322854934295</v>
      </c>
      <c r="E7" s="26" t="n">
        <f aca="false">E6/Financials!G6</f>
        <v>0.0523423363045372</v>
      </c>
    </row>
    <row r="8" customFormat="false" ht="15" hidden="false" customHeight="false" outlineLevel="0" collapsed="false">
      <c r="A8" s="8" t="s">
        <v>78</v>
      </c>
      <c r="B8" s="25" t="n">
        <f aca="false">Financials!B8/Financials!B6</f>
        <v>0.0612181958365459</v>
      </c>
      <c r="C8" s="25" t="n">
        <f aca="false">Financials!C8/Financials!C6</f>
        <v>0.0534112121394593</v>
      </c>
      <c r="D8" s="25" t="n">
        <f aca="false">Financials!D8/Financials!D6</f>
        <v>0.0469595465086318</v>
      </c>
      <c r="E8" s="26" t="n">
        <f aca="false">Financials!G8/Financials!G6</f>
        <v>0.0282152670732525</v>
      </c>
    </row>
    <row r="9" customFormat="false" ht="15" hidden="false" customHeight="false" outlineLevel="0" collapsed="false">
      <c r="A9" s="3" t="s">
        <v>79</v>
      </c>
      <c r="B9" s="4"/>
      <c r="C9" s="4"/>
      <c r="D9" s="4"/>
      <c r="E9" s="4"/>
      <c r="F9" s="4"/>
    </row>
    <row r="10" customFormat="false" ht="15" hidden="false" customHeight="false" outlineLevel="0" collapsed="false">
      <c r="A10" s="8" t="s">
        <v>80</v>
      </c>
      <c r="B10" s="27" t="n">
        <f aca="false">Financials!B29</f>
        <v>7231</v>
      </c>
      <c r="C10" s="27" t="n">
        <f aca="false">Financials!C29</f>
        <v>6626</v>
      </c>
      <c r="D10" s="27" t="n">
        <f aca="false">Financials!D29</f>
        <v>6520</v>
      </c>
      <c r="E10" s="23" t="n">
        <f aca="false">Financials!G29</f>
        <v>7068</v>
      </c>
    </row>
    <row r="11" customFormat="false" ht="15" hidden="false" customHeight="false" outlineLevel="0" collapsed="false">
      <c r="A11" s="8" t="s">
        <v>81</v>
      </c>
      <c r="B11" s="27" t="n">
        <f aca="false">Financials!B29-Financials!B19</f>
        <v>5661</v>
      </c>
      <c r="C11" s="27" t="n">
        <f aca="false">Financials!C29-Financials!C19</f>
        <v>5351</v>
      </c>
      <c r="D11" s="27" t="n">
        <f aca="false">Financials!D29-Financials!D19</f>
        <v>5851</v>
      </c>
      <c r="E11" s="23" t="n">
        <f aca="false">Financials!G29-Financials!G19</f>
        <v>5829</v>
      </c>
    </row>
    <row r="12" customFormat="false" ht="15" hidden="false" customHeight="false" outlineLevel="0" collapsed="false">
      <c r="A12" s="8" t="s">
        <v>82</v>
      </c>
      <c r="B12" s="27" t="n">
        <f aca="false">Financials!B29+Financials!B23</f>
        <v>7843</v>
      </c>
      <c r="C12" s="27" t="n">
        <f aca="false">Financials!C29+Financials!C23</f>
        <v>7337</v>
      </c>
      <c r="D12" s="27" t="n">
        <f aca="false">Financials!D29+Financials!D23</f>
        <v>7189</v>
      </c>
      <c r="E12" s="23" t="n">
        <f aca="false">Financials!G29+Financials!G23</f>
        <v>7737</v>
      </c>
    </row>
    <row r="13" customFormat="false" ht="15" hidden="false" customHeight="false" outlineLevel="0" collapsed="false">
      <c r="A13" s="5" t="s">
        <v>83</v>
      </c>
      <c r="B13" s="28" t="n">
        <f aca="false">B10/B6</f>
        <v>4.65914948453608</v>
      </c>
      <c r="C13" s="28" t="n">
        <f aca="false">C10/C6</f>
        <v>5.43114754098361</v>
      </c>
      <c r="D13" s="28" t="n">
        <f aca="false">D10/D6</f>
        <v>6.11059044048735</v>
      </c>
      <c r="E13" s="29" t="n">
        <f aca="false">E10/E6</f>
        <v>9.04993597951344</v>
      </c>
      <c r="F13" s="30" t="s">
        <v>84</v>
      </c>
    </row>
    <row r="14" customFormat="false" ht="15" hidden="false" customHeight="false" outlineLevel="0" collapsed="false">
      <c r="A14" s="5" t="s">
        <v>85</v>
      </c>
      <c r="B14" s="28" t="n">
        <f aca="false">B11/B6</f>
        <v>3.64755154639175</v>
      </c>
      <c r="C14" s="28" t="n">
        <f aca="false">C11/C6</f>
        <v>4.38606557377049</v>
      </c>
      <c r="D14" s="28" t="n">
        <f aca="false">D11/D6</f>
        <v>5.48359887535145</v>
      </c>
      <c r="E14" s="29" t="n">
        <f aca="false">E11/E6</f>
        <v>7.46350832266325</v>
      </c>
      <c r="F14" s="30" t="s">
        <v>86</v>
      </c>
    </row>
    <row r="15" customFormat="false" ht="15" hidden="false" customHeight="false" outlineLevel="0" collapsed="false">
      <c r="A15" s="8" t="s">
        <v>87</v>
      </c>
      <c r="B15" s="31" t="n">
        <f aca="false">B12/B6</f>
        <v>5.0534793814433</v>
      </c>
      <c r="C15" s="31" t="n">
        <f aca="false">C12/C6</f>
        <v>6.01393442622951</v>
      </c>
      <c r="D15" s="31" t="n">
        <f aca="false">D12/D6</f>
        <v>6.73758200562324</v>
      </c>
      <c r="E15" s="32" t="n">
        <f aca="false">E12/E6</f>
        <v>9.90653008962868</v>
      </c>
      <c r="F15" s="30" t="s">
        <v>88</v>
      </c>
    </row>
    <row r="16" customFormat="false" ht="15" hidden="false" customHeight="false" outlineLevel="0" collapsed="false">
      <c r="A16" s="8" t="s">
        <v>89</v>
      </c>
      <c r="B16" s="25" t="n">
        <f aca="false">B10/(B10+Financials!B24)</f>
        <v>0.740274365274365</v>
      </c>
      <c r="C16" s="25" t="n">
        <f aca="false">C10/(C10+Financials!C24)</f>
        <v>0.693168741500157</v>
      </c>
      <c r="D16" s="25" t="n">
        <f aca="false">D10/(D10+Financials!D24)</f>
        <v>0.706009745533297</v>
      </c>
      <c r="E16" s="26" t="n">
        <f aca="false">E10/(E10+Financials!G24)</f>
        <v>0.643071604039669</v>
      </c>
      <c r="F16" s="30" t="s">
        <v>90</v>
      </c>
    </row>
    <row r="17" customFormat="false" ht="15" hidden="false" customHeight="false" outlineLevel="0" collapsed="false">
      <c r="A17" s="3" t="s">
        <v>91</v>
      </c>
      <c r="B17" s="4"/>
      <c r="C17" s="4"/>
      <c r="D17" s="4"/>
      <c r="E17" s="4"/>
      <c r="F17" s="4"/>
    </row>
    <row r="18" customFormat="false" ht="15" hidden="false" customHeight="false" outlineLevel="0" collapsed="false">
      <c r="A18" s="5" t="s">
        <v>92</v>
      </c>
      <c r="B18" s="28" t="n">
        <f aca="false">B6/Financials!B10</f>
        <v>4.42165242165242</v>
      </c>
      <c r="C18" s="28" t="n">
        <f aca="false">C6/Financials!C10</f>
        <v>3.40782122905028</v>
      </c>
      <c r="D18" s="28" t="n">
        <f aca="false">D6/Financials!D10</f>
        <v>3.12903225806452</v>
      </c>
      <c r="E18" s="29" t="n">
        <f aca="false">E6/Financials!G10</f>
        <v>2.46372239747634</v>
      </c>
      <c r="F18" s="30" t="s">
        <v>93</v>
      </c>
    </row>
    <row r="19" customFormat="false" ht="15" hidden="false" customHeight="false" outlineLevel="0" collapsed="false">
      <c r="A19" s="8" t="s">
        <v>94</v>
      </c>
      <c r="B19" s="31" t="n">
        <f aca="false">Financials!B8/Financials!B10</f>
        <v>3.39316239316239</v>
      </c>
      <c r="C19" s="31" t="n">
        <f aca="false">Financials!C8/Financials!C10</f>
        <v>2.47765363128492</v>
      </c>
      <c r="D19" s="31" t="n">
        <f aca="false">Financials!D8/Financials!D10</f>
        <v>2.13782991202346</v>
      </c>
      <c r="E19" s="32" t="n">
        <f aca="false">Financials!G8/Financials!G10</f>
        <v>1.32807570977918</v>
      </c>
      <c r="F19" s="30" t="s">
        <v>95</v>
      </c>
    </row>
    <row r="20" customFormat="false" ht="15" hidden="false" customHeight="false" outlineLevel="0" collapsed="false">
      <c r="A20" s="8" t="s">
        <v>96</v>
      </c>
      <c r="B20" s="25" t="n">
        <f aca="false">Financials!B13/B10</f>
        <v>0.126538514728253</v>
      </c>
      <c r="C20" s="25" t="n">
        <f aca="false">Financials!C13/C10</f>
        <v>0.126018714156354</v>
      </c>
      <c r="D20" s="25" t="n">
        <f aca="false">Financials!D13/D10</f>
        <v>0.0716257668711657</v>
      </c>
      <c r="E20" s="26" t="n">
        <f aca="false">Financials!G13/E10</f>
        <v>0.0314091680814941</v>
      </c>
      <c r="F20" s="30" t="s">
        <v>97</v>
      </c>
    </row>
    <row r="21" customFormat="false" ht="15" hidden="false" customHeight="false" outlineLevel="0" collapsed="false">
      <c r="A21" s="8" t="s">
        <v>98</v>
      </c>
      <c r="B21" s="25" t="n">
        <f aca="false">Financials!B16/B10</f>
        <v>0.0506154058913013</v>
      </c>
      <c r="C21" s="25" t="n">
        <f aca="false">Financials!C16/C10</f>
        <v>0.0579535164503471</v>
      </c>
      <c r="D21" s="25" t="n">
        <f aca="false">Financials!D16/D10</f>
        <v>0.0119631901840491</v>
      </c>
      <c r="E21" s="26" t="n">
        <f aca="false">Financials!G16/E10</f>
        <v>-0.0247594793435201</v>
      </c>
      <c r="F21" s="30" t="s">
        <v>99</v>
      </c>
    </row>
    <row r="22" customFormat="false" ht="15" hidden="false" customHeight="false" outlineLevel="0" collapsed="false">
      <c r="A22" s="3" t="s">
        <v>100</v>
      </c>
      <c r="B22" s="4"/>
      <c r="C22" s="4"/>
      <c r="D22" s="4"/>
      <c r="E22" s="4"/>
      <c r="F22" s="4"/>
    </row>
    <row r="23" customFormat="false" ht="15" hidden="false" customHeight="false" outlineLevel="0" collapsed="false">
      <c r="A23" s="8" t="s">
        <v>101</v>
      </c>
      <c r="B23" s="33" t="n">
        <v>3</v>
      </c>
      <c r="C23" s="33" t="n">
        <v>3</v>
      </c>
      <c r="D23" s="33" t="n">
        <v>3</v>
      </c>
      <c r="E23" s="33" t="n">
        <v>3</v>
      </c>
    </row>
    <row r="24" customFormat="false" ht="15" hidden="false" customHeight="false" outlineLevel="0" collapsed="false">
      <c r="A24" s="8" t="s">
        <v>102</v>
      </c>
      <c r="B24" s="25" t="n">
        <f aca="false">B18/B23-1</f>
        <v>0.473884140550807</v>
      </c>
      <c r="C24" s="25" t="n">
        <f aca="false">C18/C23-1</f>
        <v>0.135940409683426</v>
      </c>
      <c r="D24" s="25" t="n">
        <f aca="false">D18/D23-1</f>
        <v>0.043010752688172</v>
      </c>
      <c r="E24" s="26" t="n">
        <f aca="false">E18/E23-1</f>
        <v>-0.17875920084122</v>
      </c>
    </row>
    <row r="25" customFormat="false" ht="15" hidden="false" customHeight="false" outlineLevel="0" collapsed="false">
      <c r="A25" s="5" t="s">
        <v>103</v>
      </c>
      <c r="B25" s="6" t="str">
        <f aca="false">IF(B18&gt;=B23,"Pass","Breach")</f>
        <v>Pass</v>
      </c>
      <c r="C25" s="6" t="str">
        <f aca="false">IF(C18&gt;=C23,"Pass","Breach")</f>
        <v>Pass</v>
      </c>
      <c r="D25" s="6" t="str">
        <f aca="false">IF(D18&gt;=D23,"Pass","Breach")</f>
        <v>Pass</v>
      </c>
      <c r="E25" s="34" t="str">
        <f aca="false">IF(E18&gt;=E23,"Pass","Breach")</f>
        <v>Breach</v>
      </c>
    </row>
    <row r="27" customFormat="false" ht="15" hidden="false" customHeight="false" outlineLevel="0" collapsed="false">
      <c r="A27" s="2" t="s">
        <v>104</v>
      </c>
    </row>
    <row r="28" customFormat="false" ht="15" hidden="false" customHeight="false" outlineLevel="0" collapsed="false">
      <c r="A28" s="2" t="s">
        <v>105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0"/>
    <col collapsed="false" customWidth="true" hidden="false" outlineLevel="0" max="4" min="3" style="0" width="14"/>
    <col collapsed="false" customWidth="true" hidden="false" outlineLevel="0" max="8" min="5" style="0" width="13"/>
    <col collapsed="false" customWidth="true" hidden="false" outlineLevel="0" max="9" min="9" style="0" width="50"/>
  </cols>
  <sheetData>
    <row r="1" customFormat="false" ht="17.35" hidden="false" customHeight="false" outlineLevel="0" collapsed="false">
      <c r="A1" s="16" t="s">
        <v>106</v>
      </c>
    </row>
    <row r="2" customFormat="false" ht="15" hidden="false" customHeight="false" outlineLevel="0" collapsed="false">
      <c r="A2" s="2" t="s">
        <v>107</v>
      </c>
    </row>
    <row r="4" customFormat="false" ht="23.85" hidden="false" customHeight="false" outlineLevel="0" collapsed="false">
      <c r="A4" s="17" t="s">
        <v>108</v>
      </c>
      <c r="B4" s="18" t="s">
        <v>109</v>
      </c>
      <c r="C4" s="18" t="s">
        <v>110</v>
      </c>
      <c r="D4" s="18" t="s">
        <v>111</v>
      </c>
      <c r="E4" s="18" t="s">
        <v>112</v>
      </c>
      <c r="F4" s="18" t="s">
        <v>113</v>
      </c>
      <c r="G4" s="18" t="s">
        <v>114</v>
      </c>
      <c r="H4" s="18" t="s">
        <v>115</v>
      </c>
    </row>
    <row r="5" customFormat="false" ht="15" hidden="false" customHeight="false" outlineLevel="0" collapsed="false">
      <c r="A5" s="8" t="s">
        <v>116</v>
      </c>
      <c r="B5" s="8" t="s">
        <v>117</v>
      </c>
      <c r="C5" s="2" t="s">
        <v>118</v>
      </c>
      <c r="D5" s="8" t="s">
        <v>119</v>
      </c>
      <c r="E5" s="2" t="s">
        <v>120</v>
      </c>
    </row>
    <row r="6" customFormat="false" ht="15" hidden="false" customHeight="false" outlineLevel="0" collapsed="false">
      <c r="A6" s="8" t="s">
        <v>121</v>
      </c>
      <c r="B6" s="8" t="s">
        <v>122</v>
      </c>
      <c r="C6" s="35" t="n">
        <v>0.075</v>
      </c>
      <c r="D6" s="8" t="s">
        <v>123</v>
      </c>
      <c r="E6" s="19" t="n">
        <v>1000</v>
      </c>
      <c r="F6" s="36" t="n">
        <f aca="false">E6*C6</f>
        <v>75</v>
      </c>
    </row>
    <row r="7" customFormat="false" ht="15" hidden="false" customHeight="false" outlineLevel="0" collapsed="false">
      <c r="A7" s="8" t="s">
        <v>124</v>
      </c>
      <c r="B7" s="8" t="s">
        <v>122</v>
      </c>
      <c r="C7" s="35" t="n">
        <v>0.07875</v>
      </c>
      <c r="D7" s="8" t="s">
        <v>125</v>
      </c>
      <c r="E7" s="19" t="n">
        <v>1000</v>
      </c>
      <c r="F7" s="36" t="n">
        <f aca="false">E7*C7</f>
        <v>78.75</v>
      </c>
      <c r="G7" s="37" t="n">
        <v>88.664</v>
      </c>
      <c r="H7" s="38" t="n">
        <v>0.1</v>
      </c>
    </row>
    <row r="8" customFormat="false" ht="15" hidden="false" customHeight="false" outlineLevel="0" collapsed="false">
      <c r="A8" s="8" t="s">
        <v>126</v>
      </c>
      <c r="B8" s="8" t="s">
        <v>127</v>
      </c>
      <c r="C8" s="35" t="n">
        <v>0.0475</v>
      </c>
      <c r="D8" s="8" t="s">
        <v>128</v>
      </c>
      <c r="E8" s="19" t="n">
        <v>700</v>
      </c>
      <c r="F8" s="36" t="n">
        <f aca="false">E8*C8</f>
        <v>33.25</v>
      </c>
      <c r="G8" s="37" t="n">
        <v>91.845</v>
      </c>
      <c r="H8" s="38" t="n">
        <v>0.0863</v>
      </c>
    </row>
    <row r="9" customFormat="false" ht="15" hidden="false" customHeight="false" outlineLevel="0" collapsed="false">
      <c r="A9" s="8" t="s">
        <v>129</v>
      </c>
      <c r="B9" s="8" t="s">
        <v>127</v>
      </c>
      <c r="C9" s="35" t="n">
        <v>0.06125</v>
      </c>
      <c r="D9" s="8" t="s">
        <v>130</v>
      </c>
      <c r="E9" s="19" t="n">
        <v>600</v>
      </c>
      <c r="F9" s="36" t="n">
        <f aca="false">E9*C9</f>
        <v>36.75</v>
      </c>
      <c r="G9" s="37" t="n">
        <v>86.416</v>
      </c>
      <c r="H9" s="38" t="n">
        <v>0.1069</v>
      </c>
    </row>
    <row r="10" customFormat="false" ht="15" hidden="false" customHeight="false" outlineLevel="0" collapsed="false">
      <c r="A10" s="8" t="s">
        <v>131</v>
      </c>
      <c r="B10" s="8" t="s">
        <v>127</v>
      </c>
      <c r="C10" s="35" t="n">
        <v>0.065</v>
      </c>
      <c r="D10" s="8" t="s">
        <v>132</v>
      </c>
      <c r="E10" s="19" t="n">
        <v>600</v>
      </c>
      <c r="F10" s="36" t="n">
        <f aca="false">E10*C10</f>
        <v>39</v>
      </c>
      <c r="G10" s="37" t="n">
        <v>76.065</v>
      </c>
      <c r="H10" s="38" t="n">
        <v>0.1177</v>
      </c>
    </row>
    <row r="11" customFormat="false" ht="15" hidden="false" customHeight="false" outlineLevel="0" collapsed="false">
      <c r="A11" s="8" t="s">
        <v>133</v>
      </c>
      <c r="B11" s="8" t="s">
        <v>134</v>
      </c>
      <c r="C11" s="39" t="n">
        <v>0.0525</v>
      </c>
      <c r="D11" s="8" t="s">
        <v>135</v>
      </c>
      <c r="E11" s="36" t="n">
        <f aca="false">E13-SUM(E5:E10)</f>
        <v>2956</v>
      </c>
      <c r="F11" s="36" t="n">
        <f aca="false">E11*C11</f>
        <v>155.19</v>
      </c>
      <c r="I11" s="2" t="s">
        <v>136</v>
      </c>
    </row>
    <row r="13" customFormat="false" ht="15" hidden="false" customHeight="false" outlineLevel="0" collapsed="false">
      <c r="A13" s="5" t="s">
        <v>137</v>
      </c>
      <c r="C13" s="40" t="n">
        <f aca="false">F13/E13</f>
        <v>0.0609597432905484</v>
      </c>
      <c r="E13" s="41" t="n">
        <f aca="false">Financials!G29-Financials!G21</f>
        <v>6856</v>
      </c>
      <c r="F13" s="41" t="n">
        <f aca="false">SUM(F5:F11)</f>
        <v>417.94</v>
      </c>
      <c r="I13" s="2" t="s">
        <v>138</v>
      </c>
    </row>
    <row r="14" customFormat="false" ht="15" hidden="false" customHeight="false" outlineLevel="0" collapsed="false">
      <c r="A14" s="8" t="s">
        <v>139</v>
      </c>
      <c r="E14" s="36" t="n">
        <f aca="false">Financials!G19-Financials!G21</f>
        <v>1027</v>
      </c>
    </row>
    <row r="15" customFormat="false" ht="15" hidden="false" customHeight="false" outlineLevel="0" collapsed="false">
      <c r="A15" s="5" t="s">
        <v>140</v>
      </c>
      <c r="E15" s="42" t="n">
        <f aca="false">E13-E14</f>
        <v>5829</v>
      </c>
    </row>
    <row r="16" customFormat="false" ht="15" hidden="false" customHeight="false" outlineLevel="0" collapsed="false">
      <c r="A16" s="8" t="s">
        <v>141</v>
      </c>
      <c r="E16" s="36" t="n">
        <f aca="false">E6+E7</f>
        <v>2000</v>
      </c>
    </row>
    <row r="17" customFormat="false" ht="15" hidden="false" customHeight="false" outlineLevel="0" collapsed="false">
      <c r="A17" s="5" t="s">
        <v>142</v>
      </c>
      <c r="E17" s="43" t="n">
        <f aca="false">'Credit Metrics'!E6/F13</f>
        <v>1.86868928554338</v>
      </c>
    </row>
    <row r="18" customFormat="false" ht="15" hidden="false" customHeight="false" outlineLevel="0" collapsed="false">
      <c r="A18" s="5" t="s">
        <v>143</v>
      </c>
      <c r="E18" s="43" t="n">
        <f aca="false">E15/'Credit Metrics'!E6</f>
        <v>7.46350832266325</v>
      </c>
    </row>
    <row r="20" customFormat="false" ht="15" hidden="false" customHeight="false" outlineLevel="0" collapsed="false">
      <c r="A20" s="3" t="s">
        <v>144</v>
      </c>
      <c r="B20" s="4"/>
      <c r="C20" s="4"/>
      <c r="D20" s="4"/>
      <c r="E20" s="4"/>
      <c r="F20" s="4"/>
      <c r="G20" s="4"/>
      <c r="H20" s="4"/>
      <c r="I20" s="4"/>
    </row>
    <row r="21" customFormat="false" ht="15" hidden="false" customHeight="false" outlineLevel="0" collapsed="false">
      <c r="A21" s="17" t="s">
        <v>145</v>
      </c>
      <c r="B21" s="18" t="s">
        <v>146</v>
      </c>
      <c r="C21" s="18" t="s">
        <v>147</v>
      </c>
    </row>
    <row r="22" customFormat="false" ht="15" hidden="false" customHeight="false" outlineLevel="0" collapsed="false">
      <c r="A22" s="8" t="s">
        <v>148</v>
      </c>
      <c r="B22" s="44" t="s">
        <v>149</v>
      </c>
      <c r="C22" s="2" t="s">
        <v>150</v>
      </c>
    </row>
    <row r="23" customFormat="false" ht="15" hidden="false" customHeight="false" outlineLevel="0" collapsed="false">
      <c r="A23" s="8" t="s">
        <v>151</v>
      </c>
      <c r="B23" s="44" t="s">
        <v>152</v>
      </c>
      <c r="C23" s="2" t="s">
        <v>153</v>
      </c>
    </row>
    <row r="24" customFormat="false" ht="15" hidden="false" customHeight="false" outlineLevel="0" collapsed="false">
      <c r="A24" s="8" t="s">
        <v>154</v>
      </c>
      <c r="B24" s="44" t="s">
        <v>152</v>
      </c>
      <c r="C24" s="2" t="s">
        <v>155</v>
      </c>
    </row>
    <row r="26" customFormat="false" ht="15" hidden="false" customHeight="false" outlineLevel="0" collapsed="false">
      <c r="A26" s="2" t="s">
        <v>156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3"/>
  </cols>
  <sheetData>
    <row r="1" customFormat="false" ht="17.35" hidden="false" customHeight="false" outlineLevel="0" collapsed="false">
      <c r="A1" s="16" t="s">
        <v>157</v>
      </c>
    </row>
    <row r="2" customFormat="false" ht="15" hidden="false" customHeight="false" outlineLevel="0" collapsed="false">
      <c r="A2" s="2" t="s">
        <v>158</v>
      </c>
    </row>
    <row r="4" customFormat="false" ht="15" hidden="false" customHeight="false" outlineLevel="0" collapsed="false">
      <c r="A4" s="3" t="s">
        <v>159</v>
      </c>
      <c r="B4" s="4"/>
      <c r="C4" s="4"/>
      <c r="D4" s="4"/>
      <c r="E4" s="4"/>
      <c r="F4" s="4"/>
    </row>
    <row r="5" customFormat="false" ht="15" hidden="false" customHeight="false" outlineLevel="0" collapsed="false">
      <c r="A5" s="17" t="s">
        <v>35</v>
      </c>
      <c r="B5" s="18" t="s">
        <v>38</v>
      </c>
      <c r="C5" s="18" t="s">
        <v>160</v>
      </c>
      <c r="D5" s="18" t="s">
        <v>161</v>
      </c>
      <c r="E5" s="18" t="s">
        <v>162</v>
      </c>
    </row>
    <row r="6" customFormat="false" ht="15" hidden="false" customHeight="false" outlineLevel="0" collapsed="false">
      <c r="A6" s="8" t="s">
        <v>163</v>
      </c>
      <c r="C6" s="45" t="n">
        <v>-0.034</v>
      </c>
      <c r="D6" s="45" t="n">
        <v>0.02</v>
      </c>
      <c r="E6" s="45" t="n">
        <v>0.03</v>
      </c>
    </row>
    <row r="7" customFormat="false" ht="15" hidden="false" customHeight="false" outlineLevel="0" collapsed="false">
      <c r="A7" s="8" t="s">
        <v>78</v>
      </c>
      <c r="B7" s="46" t="n">
        <f aca="false">'Credit Metrics'!D8</f>
        <v>0.0469595465086318</v>
      </c>
      <c r="C7" s="45" t="n">
        <v>0.042</v>
      </c>
      <c r="D7" s="45" t="n">
        <v>0.05</v>
      </c>
      <c r="E7" s="45" t="n">
        <v>0.055</v>
      </c>
    </row>
    <row r="8" customFormat="false" ht="15" hidden="false" customHeight="false" outlineLevel="0" collapsed="false">
      <c r="A8" s="8" t="s">
        <v>46</v>
      </c>
      <c r="B8" s="47" t="n">
        <f aca="false">Financials!D9</f>
        <v>338</v>
      </c>
      <c r="C8" s="19" t="n">
        <v>370</v>
      </c>
      <c r="D8" s="19" t="n">
        <v>375</v>
      </c>
      <c r="E8" s="19" t="n">
        <v>380</v>
      </c>
    </row>
    <row r="9" customFormat="false" ht="15" hidden="false" customHeight="false" outlineLevel="0" collapsed="false">
      <c r="A9" s="8" t="s">
        <v>51</v>
      </c>
      <c r="B9" s="47" t="n">
        <f aca="false">Financials!D14</f>
        <v>389</v>
      </c>
      <c r="C9" s="19" t="n">
        <v>400</v>
      </c>
      <c r="D9" s="19" t="n">
        <v>425</v>
      </c>
      <c r="E9" s="19" t="n">
        <v>425</v>
      </c>
    </row>
    <row r="10" customFormat="false" ht="15" hidden="false" customHeight="false" outlineLevel="0" collapsed="false">
      <c r="A10" s="8" t="s">
        <v>164</v>
      </c>
      <c r="C10" s="19" t="n">
        <v>150</v>
      </c>
      <c r="D10" s="19" t="n">
        <v>0</v>
      </c>
      <c r="E10" s="19" t="n">
        <v>0</v>
      </c>
    </row>
    <row r="11" customFormat="false" ht="15" hidden="false" customHeight="false" outlineLevel="0" collapsed="false">
      <c r="A11" s="8" t="s">
        <v>165</v>
      </c>
      <c r="C11" s="19" t="n">
        <v>-50</v>
      </c>
      <c r="D11" s="19" t="n">
        <v>-25</v>
      </c>
      <c r="E11" s="19" t="n">
        <v>0</v>
      </c>
    </row>
    <row r="12" customFormat="false" ht="15" hidden="false" customHeight="false" outlineLevel="0" collapsed="false">
      <c r="A12" s="8" t="s">
        <v>166</v>
      </c>
      <c r="B12" s="47" t="n">
        <f aca="false">Financials!D15</f>
        <v>299</v>
      </c>
      <c r="C12" s="19" t="n">
        <v>202</v>
      </c>
      <c r="D12" s="19" t="n">
        <v>202</v>
      </c>
      <c r="E12" s="19" t="n">
        <v>202</v>
      </c>
    </row>
    <row r="13" customFormat="false" ht="15" hidden="false" customHeight="false" outlineLevel="0" collapsed="false">
      <c r="A13" s="8" t="s">
        <v>167</v>
      </c>
      <c r="C13" s="48" t="n">
        <v>0.25</v>
      </c>
      <c r="D13" s="48" t="n">
        <v>0.25</v>
      </c>
      <c r="E13" s="48" t="n">
        <v>0.25</v>
      </c>
    </row>
    <row r="14" customFormat="false" ht="15" hidden="false" customHeight="false" outlineLevel="0" collapsed="false">
      <c r="A14" s="8" t="s">
        <v>168</v>
      </c>
      <c r="C14" s="48" t="n">
        <v>0.0625</v>
      </c>
      <c r="D14" s="48" t="n">
        <v>0.0625</v>
      </c>
      <c r="E14" s="48" t="n">
        <v>0.0625</v>
      </c>
    </row>
    <row r="15" customFormat="false" ht="15" hidden="false" customHeight="false" outlineLevel="0" collapsed="false">
      <c r="A15" s="8" t="s">
        <v>169</v>
      </c>
      <c r="C15" s="19" t="n">
        <v>700</v>
      </c>
      <c r="D15" s="19" t="n">
        <v>700</v>
      </c>
      <c r="E15" s="19" t="n">
        <v>700</v>
      </c>
    </row>
    <row r="17" customFormat="false" ht="15" hidden="false" customHeight="false" outlineLevel="0" collapsed="false">
      <c r="A17" s="8" t="s">
        <v>43</v>
      </c>
      <c r="B17" s="47" t="n">
        <f aca="false">Financials!D6</f>
        <v>15524</v>
      </c>
      <c r="C17" s="27" t="n">
        <f aca="false">B17*(1+C6)</f>
        <v>14996.184</v>
      </c>
      <c r="D17" s="27" t="n">
        <f aca="false">C17*(1+D6)</f>
        <v>15296.10768</v>
      </c>
      <c r="E17" s="27" t="n">
        <f aca="false">D17*(1+E6)</f>
        <v>15754.9909104</v>
      </c>
    </row>
    <row r="18" customFormat="false" ht="15" hidden="false" customHeight="false" outlineLevel="0" collapsed="false">
      <c r="A18" s="8" t="s">
        <v>170</v>
      </c>
      <c r="B18" s="47" t="n">
        <f aca="false">Financials!D8</f>
        <v>729</v>
      </c>
      <c r="C18" s="27" t="n">
        <f aca="false">C17*C7</f>
        <v>629.839728</v>
      </c>
      <c r="D18" s="27" t="n">
        <f aca="false">D17*D7</f>
        <v>764.805384</v>
      </c>
      <c r="E18" s="27" t="n">
        <f aca="false">E17*E7</f>
        <v>866.524500072</v>
      </c>
    </row>
    <row r="19" customFormat="false" ht="15" hidden="false" customHeight="false" outlineLevel="0" collapsed="false">
      <c r="A19" s="5" t="s">
        <v>171</v>
      </c>
      <c r="B19" s="47" t="n">
        <f aca="false">'Credit Metrics'!D6</f>
        <v>1067</v>
      </c>
      <c r="C19" s="49" t="n">
        <f aca="false">C18+C8</f>
        <v>999.839728</v>
      </c>
      <c r="D19" s="49" t="n">
        <f aca="false">D18+D8</f>
        <v>1139.805384</v>
      </c>
      <c r="E19" s="49" t="n">
        <f aca="false">E18+E8</f>
        <v>1246.524500072</v>
      </c>
    </row>
    <row r="20" customFormat="false" ht="15" hidden="false" customHeight="false" outlineLevel="0" collapsed="false">
      <c r="A20" s="8" t="s">
        <v>47</v>
      </c>
      <c r="B20" s="47" t="n">
        <f aca="false">Financials!D10</f>
        <v>341</v>
      </c>
      <c r="C20" s="27" t="n">
        <f aca="false">Financials!F10+'Capital Structure'!$F$13/2</f>
        <v>348.97</v>
      </c>
      <c r="D20" s="27" t="n">
        <f aca="false">'Capital Structure'!$F$13+D14*MAX(0,C26-'Capital Structure'!$E$15)</f>
        <v>417.94</v>
      </c>
      <c r="E20" s="27" t="n">
        <f aca="false">'Capital Structure'!$F$13+E14*MAX(0,D26-'Capital Structure'!$E$15)</f>
        <v>417.94</v>
      </c>
    </row>
    <row r="21" customFormat="false" ht="15" hidden="false" customHeight="false" outlineLevel="0" collapsed="false">
      <c r="A21" s="8" t="s">
        <v>172</v>
      </c>
      <c r="C21" s="27" t="n">
        <f aca="false">C18-C20</f>
        <v>280.869728</v>
      </c>
      <c r="D21" s="27" t="n">
        <f aca="false">D18-D20</f>
        <v>346.865384</v>
      </c>
      <c r="E21" s="27" t="n">
        <f aca="false">E18-E20</f>
        <v>448.584500072</v>
      </c>
    </row>
    <row r="22" customFormat="false" ht="15" hidden="false" customHeight="false" outlineLevel="0" collapsed="false">
      <c r="A22" s="8" t="s">
        <v>173</v>
      </c>
      <c r="C22" s="27" t="n">
        <f aca="false">MAX(0,C21*C13)</f>
        <v>70.217432</v>
      </c>
      <c r="D22" s="27" t="n">
        <f aca="false">MAX(0,D21*D13)</f>
        <v>86.716346</v>
      </c>
      <c r="E22" s="27" t="n">
        <f aca="false">MAX(0,E21*E13)</f>
        <v>112.146125018</v>
      </c>
    </row>
    <row r="23" customFormat="false" ht="15" hidden="false" customHeight="false" outlineLevel="0" collapsed="false">
      <c r="A23" s="8" t="s">
        <v>174</v>
      </c>
      <c r="C23" s="27" t="n">
        <f aca="false">C19-C20-C22+C10+C11</f>
        <v>680.652296</v>
      </c>
      <c r="D23" s="27" t="n">
        <f aca="false">D19-D20-D22+D10+D11</f>
        <v>610.149038</v>
      </c>
      <c r="E23" s="27" t="n">
        <f aca="false">E19-E20-E22+E10+E11</f>
        <v>716.438375054</v>
      </c>
    </row>
    <row r="24" customFormat="false" ht="15" hidden="false" customHeight="false" outlineLevel="0" collapsed="false">
      <c r="A24" s="5" t="s">
        <v>175</v>
      </c>
      <c r="B24" s="47" t="n">
        <f aca="false">Financials!D16</f>
        <v>78</v>
      </c>
      <c r="C24" s="49" t="n">
        <f aca="false">C23-C9</f>
        <v>280.652296</v>
      </c>
      <c r="D24" s="49" t="n">
        <f aca="false">D23-D9</f>
        <v>185.149038</v>
      </c>
      <c r="E24" s="49" t="n">
        <f aca="false">E23-E9</f>
        <v>291.438375054</v>
      </c>
    </row>
    <row r="25" customFormat="false" ht="15" hidden="false" customHeight="false" outlineLevel="0" collapsed="false">
      <c r="A25" s="8" t="s">
        <v>176</v>
      </c>
      <c r="C25" s="27" t="n">
        <f aca="false">C24-C12</f>
        <v>78.652296</v>
      </c>
      <c r="D25" s="27" t="n">
        <f aca="false">D24-D12</f>
        <v>-16.8509620000001</v>
      </c>
      <c r="E25" s="27" t="n">
        <f aca="false">E24-E12</f>
        <v>89.4383750540001</v>
      </c>
    </row>
    <row r="26" customFormat="false" ht="15" hidden="false" customHeight="false" outlineLevel="0" collapsed="false">
      <c r="A26" s="5" t="s">
        <v>177</v>
      </c>
      <c r="B26" s="47" t="n">
        <f aca="false">'Credit Metrics'!D11</f>
        <v>5851</v>
      </c>
      <c r="C26" s="49" t="n">
        <f aca="false">B26-C25</f>
        <v>5772.347704</v>
      </c>
      <c r="D26" s="49" t="n">
        <f aca="false">C26-D25</f>
        <v>5789.198666</v>
      </c>
      <c r="E26" s="49" t="n">
        <f aca="false">D26-E25</f>
        <v>5699.760290946</v>
      </c>
    </row>
    <row r="27" customFormat="false" ht="15" hidden="false" customHeight="false" outlineLevel="0" collapsed="false">
      <c r="A27" s="8" t="s">
        <v>178</v>
      </c>
      <c r="C27" s="27" t="n">
        <f aca="false">C26+C15</f>
        <v>6472.347704</v>
      </c>
      <c r="D27" s="27" t="n">
        <f aca="false">D26+D15</f>
        <v>6489.198666</v>
      </c>
      <c r="E27" s="27" t="n">
        <f aca="false">E26+E15</f>
        <v>6399.760290946</v>
      </c>
    </row>
    <row r="28" customFormat="false" ht="15" hidden="false" customHeight="false" outlineLevel="0" collapsed="false">
      <c r="A28" s="5" t="s">
        <v>85</v>
      </c>
      <c r="B28" s="50" t="n">
        <f aca="false">'Credit Metrics'!D14</f>
        <v>5.48359887535145</v>
      </c>
      <c r="C28" s="28" t="n">
        <f aca="false">C26/C19</f>
        <v>5.77327299800994</v>
      </c>
      <c r="D28" s="28" t="n">
        <f aca="false">D26/D19</f>
        <v>5.07911152839404</v>
      </c>
      <c r="E28" s="28" t="n">
        <f aca="false">E26/E19</f>
        <v>4.57252167174956</v>
      </c>
    </row>
    <row r="29" customFormat="false" ht="15" hidden="false" customHeight="false" outlineLevel="0" collapsed="false">
      <c r="A29" s="8" t="s">
        <v>83</v>
      </c>
      <c r="C29" s="31" t="n">
        <f aca="false">C27/C19</f>
        <v>6.4733852063938</v>
      </c>
      <c r="D29" s="31" t="n">
        <f aca="false">D27/D19</f>
        <v>5.69325145949653</v>
      </c>
      <c r="E29" s="31" t="n">
        <f aca="false">E27/E19</f>
        <v>5.13408303693698</v>
      </c>
    </row>
    <row r="30" customFormat="false" ht="15" hidden="false" customHeight="false" outlineLevel="0" collapsed="false">
      <c r="A30" s="5" t="s">
        <v>179</v>
      </c>
      <c r="B30" s="50" t="n">
        <f aca="false">'Credit Metrics'!D18</f>
        <v>3.12903225806452</v>
      </c>
      <c r="C30" s="28" t="n">
        <f aca="false">C19/C20</f>
        <v>2.86511656589392</v>
      </c>
      <c r="D30" s="28" t="n">
        <f aca="false">D19/D20</f>
        <v>2.72719860267024</v>
      </c>
      <c r="E30" s="28" t="n">
        <f aca="false">E19/E20</f>
        <v>2.98254414526487</v>
      </c>
    </row>
    <row r="31" customFormat="false" ht="15" hidden="false" customHeight="false" outlineLevel="0" collapsed="false">
      <c r="A31" s="5" t="s">
        <v>180</v>
      </c>
      <c r="C31" s="28" t="n">
        <f aca="false">(C19-C9-C22-C12)/C20</f>
        <v>0.938826535232255</v>
      </c>
      <c r="D31" s="28" t="n">
        <f aca="false">(D19-D9-D22-D12)/D20</f>
        <v>1.01949810499115</v>
      </c>
      <c r="E31" s="28" t="n">
        <f aca="false">(E19-E9-E22-E12)/E20</f>
        <v>1.21399812186917</v>
      </c>
    </row>
    <row r="32" customFormat="false" ht="15" hidden="false" customHeight="false" outlineLevel="0" collapsed="false">
      <c r="A32" s="5" t="s">
        <v>181</v>
      </c>
      <c r="C32" s="24" t="str">
        <f aca="false">IF(C31&gt;=1,"Pass","Fail")</f>
        <v>Fail</v>
      </c>
      <c r="D32" s="24" t="str">
        <f aca="false">IF(D31&gt;=1,"Pass","Fail")</f>
        <v>Pass</v>
      </c>
      <c r="E32" s="24" t="str">
        <f aca="false">IF(E31&gt;=1,"Pass","Fail")</f>
        <v>Pass</v>
      </c>
    </row>
    <row r="33" customFormat="false" ht="15" hidden="false" customHeight="false" outlineLevel="0" collapsed="false">
      <c r="A33" s="8" t="s">
        <v>182</v>
      </c>
      <c r="C33" s="27" t="str">
        <f aca="false">IF(C30&gt;=3,"Pass","Below 3.0x")</f>
        <v>Below 3.0x</v>
      </c>
      <c r="D33" s="27" t="str">
        <f aca="false">IF(D30&gt;=3,"Pass","Below 3.0x")</f>
        <v>Below 3.0x</v>
      </c>
      <c r="E33" s="27" t="str">
        <f aca="false">IF(E30&gt;=3,"Pass","Below 3.0x")</f>
        <v>Below 3.0x</v>
      </c>
    </row>
    <row r="34" customFormat="false" ht="15" hidden="false" customHeight="false" outlineLevel="0" collapsed="false">
      <c r="A34" s="8" t="s">
        <v>98</v>
      </c>
      <c r="C34" s="25" t="n">
        <f aca="false">C24/C27</f>
        <v>0.0433617458200759</v>
      </c>
      <c r="D34" s="25" t="n">
        <f aca="false">D24/D27</f>
        <v>0.0285318800563287</v>
      </c>
      <c r="E34" s="25" t="n">
        <f aca="false">E24/E27</f>
        <v>0.0455389517426629</v>
      </c>
    </row>
    <row r="38" customFormat="false" ht="15" hidden="false" customHeight="false" outlineLevel="0" collapsed="false">
      <c r="A38" s="3" t="s">
        <v>183</v>
      </c>
      <c r="B38" s="4"/>
      <c r="C38" s="4"/>
      <c r="D38" s="4"/>
      <c r="E38" s="4"/>
      <c r="F38" s="4"/>
    </row>
    <row r="39" customFormat="false" ht="15" hidden="false" customHeight="false" outlineLevel="0" collapsed="false">
      <c r="A39" s="17" t="s">
        <v>35</v>
      </c>
      <c r="B39" s="18" t="s">
        <v>38</v>
      </c>
      <c r="C39" s="18" t="s">
        <v>160</v>
      </c>
      <c r="D39" s="18" t="s">
        <v>161</v>
      </c>
      <c r="E39" s="18" t="s">
        <v>162</v>
      </c>
    </row>
    <row r="40" customFormat="false" ht="15" hidden="false" customHeight="false" outlineLevel="0" collapsed="false">
      <c r="A40" s="8" t="s">
        <v>163</v>
      </c>
      <c r="C40" s="45" t="n">
        <v>-0.053</v>
      </c>
      <c r="D40" s="45" t="n">
        <v>-0.03</v>
      </c>
      <c r="E40" s="45" t="n">
        <v>0</v>
      </c>
    </row>
    <row r="41" customFormat="false" ht="15" hidden="false" customHeight="false" outlineLevel="0" collapsed="false">
      <c r="A41" s="8" t="s">
        <v>78</v>
      </c>
      <c r="B41" s="46" t="n">
        <f aca="false">'Credit Metrics'!D8</f>
        <v>0.0469595465086318</v>
      </c>
      <c r="C41" s="45" t="n">
        <v>0.025</v>
      </c>
      <c r="D41" s="45" t="n">
        <v>0.025</v>
      </c>
      <c r="E41" s="45" t="n">
        <v>0.03</v>
      </c>
    </row>
    <row r="42" customFormat="false" ht="15" hidden="false" customHeight="false" outlineLevel="0" collapsed="false">
      <c r="A42" s="8" t="s">
        <v>46</v>
      </c>
      <c r="B42" s="47" t="n">
        <f aca="false">Financials!D9</f>
        <v>338</v>
      </c>
      <c r="C42" s="19" t="n">
        <v>370</v>
      </c>
      <c r="D42" s="19" t="n">
        <v>375</v>
      </c>
      <c r="E42" s="19" t="n">
        <v>380</v>
      </c>
    </row>
    <row r="43" customFormat="false" ht="15" hidden="false" customHeight="false" outlineLevel="0" collapsed="false">
      <c r="A43" s="8" t="s">
        <v>51</v>
      </c>
      <c r="B43" s="47" t="n">
        <f aca="false">Financials!D14</f>
        <v>389</v>
      </c>
      <c r="C43" s="19" t="n">
        <v>350</v>
      </c>
      <c r="D43" s="19" t="n">
        <v>325</v>
      </c>
      <c r="E43" s="19" t="n">
        <v>325</v>
      </c>
    </row>
    <row r="44" customFormat="false" ht="15" hidden="false" customHeight="false" outlineLevel="0" collapsed="false">
      <c r="A44" s="8" t="s">
        <v>164</v>
      </c>
      <c r="C44" s="19" t="n">
        <v>100</v>
      </c>
      <c r="D44" s="19" t="n">
        <v>0</v>
      </c>
      <c r="E44" s="19" t="n">
        <v>0</v>
      </c>
    </row>
    <row r="45" customFormat="false" ht="15" hidden="false" customHeight="false" outlineLevel="0" collapsed="false">
      <c r="A45" s="8" t="s">
        <v>165</v>
      </c>
      <c r="C45" s="19" t="n">
        <v>-75</v>
      </c>
      <c r="D45" s="19" t="n">
        <v>-50</v>
      </c>
      <c r="E45" s="19" t="n">
        <v>-25</v>
      </c>
    </row>
    <row r="46" customFormat="false" ht="15" hidden="false" customHeight="false" outlineLevel="0" collapsed="false">
      <c r="A46" s="8" t="s">
        <v>166</v>
      </c>
      <c r="B46" s="47" t="n">
        <f aca="false">Financials!D15</f>
        <v>299</v>
      </c>
      <c r="C46" s="19" t="n">
        <v>202</v>
      </c>
      <c r="D46" s="19" t="n">
        <v>202</v>
      </c>
      <c r="E46" s="19" t="n">
        <v>202</v>
      </c>
    </row>
    <row r="47" customFormat="false" ht="15" hidden="false" customHeight="false" outlineLevel="0" collapsed="false">
      <c r="A47" s="8" t="s">
        <v>167</v>
      </c>
      <c r="C47" s="48" t="n">
        <v>0.25</v>
      </c>
      <c r="D47" s="48" t="n">
        <v>0.25</v>
      </c>
      <c r="E47" s="48" t="n">
        <v>0.25</v>
      </c>
    </row>
    <row r="48" customFormat="false" ht="15" hidden="false" customHeight="false" outlineLevel="0" collapsed="false">
      <c r="A48" s="8" t="s">
        <v>168</v>
      </c>
      <c r="C48" s="48" t="n">
        <v>0.0625</v>
      </c>
      <c r="D48" s="48" t="n">
        <v>0.0625</v>
      </c>
      <c r="E48" s="48" t="n">
        <v>0.0625</v>
      </c>
    </row>
    <row r="49" customFormat="false" ht="15" hidden="false" customHeight="false" outlineLevel="0" collapsed="false">
      <c r="A49" s="8" t="s">
        <v>169</v>
      </c>
      <c r="C49" s="19" t="n">
        <v>700</v>
      </c>
      <c r="D49" s="19" t="n">
        <v>700</v>
      </c>
      <c r="E49" s="19" t="n">
        <v>700</v>
      </c>
    </row>
    <row r="51" customFormat="false" ht="15" hidden="false" customHeight="false" outlineLevel="0" collapsed="false">
      <c r="A51" s="8" t="s">
        <v>43</v>
      </c>
      <c r="B51" s="47" t="n">
        <f aca="false">Financials!D6</f>
        <v>15524</v>
      </c>
      <c r="C51" s="27" t="n">
        <f aca="false">B51*(1+C40)</f>
        <v>14701.228</v>
      </c>
      <c r="D51" s="27" t="n">
        <f aca="false">C51*(1+D40)</f>
        <v>14260.19116</v>
      </c>
      <c r="E51" s="27" t="n">
        <f aca="false">D51*(1+E40)</f>
        <v>14260.19116</v>
      </c>
    </row>
    <row r="52" customFormat="false" ht="15" hidden="false" customHeight="false" outlineLevel="0" collapsed="false">
      <c r="A52" s="8" t="s">
        <v>170</v>
      </c>
      <c r="B52" s="47" t="n">
        <f aca="false">Financials!D8</f>
        <v>729</v>
      </c>
      <c r="C52" s="27" t="n">
        <f aca="false">C51*C41</f>
        <v>367.5307</v>
      </c>
      <c r="D52" s="27" t="n">
        <f aca="false">D51*D41</f>
        <v>356.504779</v>
      </c>
      <c r="E52" s="27" t="n">
        <f aca="false">E51*E41</f>
        <v>427.8057348</v>
      </c>
    </row>
    <row r="53" customFormat="false" ht="15" hidden="false" customHeight="false" outlineLevel="0" collapsed="false">
      <c r="A53" s="5" t="s">
        <v>171</v>
      </c>
      <c r="B53" s="47" t="n">
        <f aca="false">'Credit Metrics'!D6</f>
        <v>1067</v>
      </c>
      <c r="C53" s="49" t="n">
        <f aca="false">C52+C42</f>
        <v>737.5307</v>
      </c>
      <c r="D53" s="49" t="n">
        <f aca="false">D52+D42</f>
        <v>731.504779</v>
      </c>
      <c r="E53" s="49" t="n">
        <f aca="false">E52+E42</f>
        <v>807.8057348</v>
      </c>
    </row>
    <row r="54" customFormat="false" ht="15" hidden="false" customHeight="false" outlineLevel="0" collapsed="false">
      <c r="A54" s="8" t="s">
        <v>47</v>
      </c>
      <c r="B54" s="47" t="n">
        <f aca="false">Financials!D10</f>
        <v>341</v>
      </c>
      <c r="C54" s="27" t="n">
        <f aca="false">Financials!F10+'Capital Structure'!$F$13/2</f>
        <v>348.97</v>
      </c>
      <c r="D54" s="27" t="n">
        <f aca="false">'Capital Structure'!$F$13+D48*MAX(0,C60-'Capital Structure'!$E$15)</f>
        <v>428.2574671875</v>
      </c>
      <c r="E54" s="27" t="n">
        <f aca="false">'Capital Structure'!$F$13+E48*MAX(0,D60-'Capital Structure'!$E$15)</f>
        <v>445.367010199219</v>
      </c>
    </row>
    <row r="55" customFormat="false" ht="15" hidden="false" customHeight="false" outlineLevel="0" collapsed="false">
      <c r="A55" s="8" t="s">
        <v>172</v>
      </c>
      <c r="C55" s="27" t="n">
        <f aca="false">C52-C54</f>
        <v>18.5607</v>
      </c>
      <c r="D55" s="27" t="n">
        <f aca="false">D52-D54</f>
        <v>-71.7526881875</v>
      </c>
      <c r="E55" s="27" t="n">
        <f aca="false">E52-E54</f>
        <v>-17.5612753992189</v>
      </c>
    </row>
    <row r="56" customFormat="false" ht="15" hidden="false" customHeight="false" outlineLevel="0" collapsed="false">
      <c r="A56" s="8" t="s">
        <v>173</v>
      </c>
      <c r="C56" s="27" t="n">
        <f aca="false">MAX(0,C55*C47)</f>
        <v>4.640175</v>
      </c>
      <c r="D56" s="27" t="n">
        <f aca="false">MAX(0,D55*D47)</f>
        <v>0</v>
      </c>
      <c r="E56" s="27" t="n">
        <f aca="false">MAX(0,E55*E47)</f>
        <v>0</v>
      </c>
    </row>
    <row r="57" customFormat="false" ht="15" hidden="false" customHeight="false" outlineLevel="0" collapsed="false">
      <c r="A57" s="8" t="s">
        <v>174</v>
      </c>
      <c r="C57" s="27" t="n">
        <f aca="false">C53-C54-C56+C44+C45</f>
        <v>408.920525</v>
      </c>
      <c r="D57" s="27" t="n">
        <f aca="false">D53-D54-D56+D44+D45</f>
        <v>253.2473118125</v>
      </c>
      <c r="E57" s="27" t="n">
        <f aca="false">E53-E54-E56+E44+E45</f>
        <v>337.438724600781</v>
      </c>
    </row>
    <row r="58" customFormat="false" ht="15" hidden="false" customHeight="false" outlineLevel="0" collapsed="false">
      <c r="A58" s="5" t="s">
        <v>175</v>
      </c>
      <c r="B58" s="47" t="n">
        <f aca="false">Financials!D16</f>
        <v>78</v>
      </c>
      <c r="C58" s="49" t="n">
        <f aca="false">C57-C43</f>
        <v>58.920525</v>
      </c>
      <c r="D58" s="49" t="n">
        <f aca="false">D57-D43</f>
        <v>-71.7526881875</v>
      </c>
      <c r="E58" s="49" t="n">
        <f aca="false">E57-E43</f>
        <v>12.4387246007812</v>
      </c>
    </row>
    <row r="59" customFormat="false" ht="15" hidden="false" customHeight="false" outlineLevel="0" collapsed="false">
      <c r="A59" s="8" t="s">
        <v>176</v>
      </c>
      <c r="C59" s="27" t="n">
        <f aca="false">C58-C46</f>
        <v>-143.079475</v>
      </c>
      <c r="D59" s="27" t="n">
        <f aca="false">D58-D46</f>
        <v>-273.7526881875</v>
      </c>
      <c r="E59" s="27" t="n">
        <f aca="false">E58-E46</f>
        <v>-189.561275399219</v>
      </c>
    </row>
    <row r="60" customFormat="false" ht="15" hidden="false" customHeight="false" outlineLevel="0" collapsed="false">
      <c r="A60" s="5" t="s">
        <v>177</v>
      </c>
      <c r="B60" s="47" t="n">
        <f aca="false">'Credit Metrics'!D11</f>
        <v>5851</v>
      </c>
      <c r="C60" s="49" t="n">
        <f aca="false">B60-C59</f>
        <v>5994.079475</v>
      </c>
      <c r="D60" s="49" t="n">
        <f aca="false">C60-D59</f>
        <v>6267.8321631875</v>
      </c>
      <c r="E60" s="49" t="n">
        <f aca="false">D60-E59</f>
        <v>6457.39343858672</v>
      </c>
    </row>
    <row r="61" customFormat="false" ht="15" hidden="false" customHeight="false" outlineLevel="0" collapsed="false">
      <c r="A61" s="8" t="s">
        <v>178</v>
      </c>
      <c r="C61" s="27" t="n">
        <f aca="false">C60+C49</f>
        <v>6694.079475</v>
      </c>
      <c r="D61" s="27" t="n">
        <f aca="false">D60+D49</f>
        <v>6967.8321631875</v>
      </c>
      <c r="E61" s="27" t="n">
        <f aca="false">E60+E49</f>
        <v>7157.39343858672</v>
      </c>
    </row>
    <row r="62" customFormat="false" ht="15" hidden="false" customHeight="false" outlineLevel="0" collapsed="false">
      <c r="A62" s="5" t="s">
        <v>85</v>
      </c>
      <c r="B62" s="50" t="n">
        <f aca="false">'Credit Metrics'!D14</f>
        <v>5.48359887535145</v>
      </c>
      <c r="C62" s="28" t="n">
        <f aca="false">C60/C53</f>
        <v>8.12722707678474</v>
      </c>
      <c r="D62" s="28" t="n">
        <f aca="false">D60/D53</f>
        <v>8.56840904273505</v>
      </c>
      <c r="E62" s="28" t="n">
        <f aca="false">E60/E53</f>
        <v>7.9937454766714</v>
      </c>
    </row>
    <row r="63" customFormat="false" ht="15" hidden="false" customHeight="false" outlineLevel="0" collapsed="false">
      <c r="A63" s="8" t="s">
        <v>83</v>
      </c>
      <c r="C63" s="31" t="n">
        <f aca="false">C61/C53</f>
        <v>9.07634011031676</v>
      </c>
      <c r="D63" s="31" t="n">
        <f aca="false">D61/D53</f>
        <v>9.52534058999976</v>
      </c>
      <c r="E63" s="31" t="n">
        <f aca="false">E61/E53</f>
        <v>8.86029045134073</v>
      </c>
    </row>
    <row r="64" customFormat="false" ht="15" hidden="false" customHeight="false" outlineLevel="0" collapsed="false">
      <c r="A64" s="5" t="s">
        <v>179</v>
      </c>
      <c r="B64" s="50" t="n">
        <f aca="false">'Credit Metrics'!D18</f>
        <v>3.12903225806452</v>
      </c>
      <c r="C64" s="28" t="n">
        <f aca="false">C53/C54</f>
        <v>2.11345015330831</v>
      </c>
      <c r="D64" s="28" t="n">
        <f aca="false">D53/D54</f>
        <v>1.70809579527946</v>
      </c>
      <c r="E64" s="28" t="n">
        <f aca="false">E53/E54</f>
        <v>1.81379787074633</v>
      </c>
    </row>
    <row r="65" customFormat="false" ht="15" hidden="false" customHeight="false" outlineLevel="0" collapsed="false">
      <c r="A65" s="5" t="s">
        <v>180</v>
      </c>
      <c r="C65" s="28" t="n">
        <f aca="false">(C53-C43-C56-C46)/C54</f>
        <v>0.518355517666275</v>
      </c>
      <c r="D65" s="28" t="n">
        <f aca="false">(D53-D43-D56-D46)/D54</f>
        <v>0.47752764322604</v>
      </c>
      <c r="E65" s="28" t="n">
        <f aca="false">(E53-E43-E56-E46)/E54</f>
        <v>0.630504119904148</v>
      </c>
    </row>
    <row r="66" customFormat="false" ht="15" hidden="false" customHeight="false" outlineLevel="0" collapsed="false">
      <c r="A66" s="5" t="s">
        <v>181</v>
      </c>
      <c r="C66" s="24" t="str">
        <f aca="false">IF(C65&gt;=1,"Pass","Fail")</f>
        <v>Fail</v>
      </c>
      <c r="D66" s="24" t="str">
        <f aca="false">IF(D65&gt;=1,"Pass","Fail")</f>
        <v>Fail</v>
      </c>
      <c r="E66" s="24" t="str">
        <f aca="false">IF(E65&gt;=1,"Pass","Fail")</f>
        <v>Fail</v>
      </c>
    </row>
    <row r="67" customFormat="false" ht="15" hidden="false" customHeight="false" outlineLevel="0" collapsed="false">
      <c r="A67" s="8" t="s">
        <v>182</v>
      </c>
      <c r="C67" s="27" t="str">
        <f aca="false">IF(C64&gt;=3,"Pass","Below 3.0x")</f>
        <v>Below 3.0x</v>
      </c>
      <c r="D67" s="27" t="str">
        <f aca="false">IF(D64&gt;=3,"Pass","Below 3.0x")</f>
        <v>Below 3.0x</v>
      </c>
      <c r="E67" s="27" t="str">
        <f aca="false">IF(E64&gt;=3,"Pass","Below 3.0x")</f>
        <v>Below 3.0x</v>
      </c>
    </row>
    <row r="68" customFormat="false" ht="15" hidden="false" customHeight="false" outlineLevel="0" collapsed="false">
      <c r="A68" s="8" t="s">
        <v>98</v>
      </c>
      <c r="C68" s="25" t="n">
        <f aca="false">C58/C61</f>
        <v>0.0088018860875565</v>
      </c>
      <c r="D68" s="25" t="n">
        <f aca="false">D58/D61</f>
        <v>-0.0102977061598275</v>
      </c>
      <c r="E68" s="25" t="n">
        <f aca="false">E58/E61</f>
        <v>0.00173788470726255</v>
      </c>
    </row>
    <row r="71" customFormat="false" ht="15" hidden="false" customHeight="false" outlineLevel="0" collapsed="false">
      <c r="A71" s="2" t="s">
        <v>184</v>
      </c>
    </row>
    <row r="72" customFormat="false" ht="15" hidden="false" customHeight="false" outlineLevel="0" collapsed="false">
      <c r="A72" s="2" t="s">
        <v>185</v>
      </c>
    </row>
    <row r="73" customFormat="false" ht="15" hidden="false" customHeight="false" outlineLevel="0" collapsed="false">
      <c r="A73" s="2" t="s">
        <v>186</v>
      </c>
    </row>
    <row r="74" customFormat="false" ht="15" hidden="false" customHeight="false" outlineLevel="0" collapsed="false">
      <c r="A74" s="2" t="s">
        <v>187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7" min="2" style="0" width="15"/>
  </cols>
  <sheetData>
    <row r="1" customFormat="false" ht="17.35" hidden="false" customHeight="false" outlineLevel="0" collapsed="false">
      <c r="A1" s="16" t="s">
        <v>188</v>
      </c>
    </row>
    <row r="2" customFormat="false" ht="15" hidden="false" customHeight="false" outlineLevel="0" collapsed="false">
      <c r="A2" s="2" t="s">
        <v>189</v>
      </c>
    </row>
    <row r="4" customFormat="false" ht="30" hidden="false" customHeight="true" outlineLevel="0" collapsed="false">
      <c r="A4" s="17" t="s">
        <v>190</v>
      </c>
      <c r="B4" s="18" t="s">
        <v>191</v>
      </c>
      <c r="C4" s="18" t="s">
        <v>192</v>
      </c>
      <c r="D4" s="18" t="s">
        <v>193</v>
      </c>
      <c r="E4" s="18" t="s">
        <v>194</v>
      </c>
      <c r="F4" s="18" t="s">
        <v>195</v>
      </c>
      <c r="G4" s="18" t="s">
        <v>196</v>
      </c>
    </row>
    <row r="5" customFormat="false" ht="15" hidden="false" customHeight="false" outlineLevel="0" collapsed="false">
      <c r="A5" s="8" t="s">
        <v>197</v>
      </c>
      <c r="B5" s="47" t="n">
        <f aca="false">Financials!D25</f>
        <v>1276</v>
      </c>
      <c r="C5" s="45" t="n">
        <v>0.65</v>
      </c>
      <c r="D5" s="48" t="n">
        <v>0.85</v>
      </c>
      <c r="E5" s="48" t="n">
        <v>1</v>
      </c>
      <c r="F5" s="48" t="n">
        <v>0.85</v>
      </c>
      <c r="G5" s="36" t="n">
        <f aca="false">B5*C5*D5*E5*F5</f>
        <v>599.2415</v>
      </c>
    </row>
    <row r="6" customFormat="false" ht="15" hidden="false" customHeight="false" outlineLevel="0" collapsed="false">
      <c r="A6" s="8" t="s">
        <v>198</v>
      </c>
      <c r="B6" s="47" t="n">
        <f aca="false">Financials!D26</f>
        <v>2307</v>
      </c>
      <c r="C6" s="45" t="n">
        <v>0.65</v>
      </c>
      <c r="D6" s="48" t="n">
        <v>0.8</v>
      </c>
      <c r="E6" s="48" t="n">
        <v>0.6</v>
      </c>
      <c r="F6" s="48" t="n">
        <v>0.85</v>
      </c>
      <c r="G6" s="36" t="n">
        <f aca="false">B6*C6*D6*E6*F6</f>
        <v>611.8164</v>
      </c>
    </row>
    <row r="7" customFormat="false" ht="15" hidden="false" customHeight="false" outlineLevel="0" collapsed="false">
      <c r="A7" s="8" t="s">
        <v>199</v>
      </c>
      <c r="B7" s="47" t="n">
        <f aca="false">Financials!D27</f>
        <v>2194</v>
      </c>
      <c r="C7" s="45" t="n">
        <v>0.65</v>
      </c>
      <c r="D7" s="48" t="n">
        <v>0.5</v>
      </c>
      <c r="E7" s="48" t="n">
        <v>0.4</v>
      </c>
      <c r="F7" s="48" t="n">
        <v>0.85</v>
      </c>
      <c r="G7" s="36" t="n">
        <f aca="false">B7*C7*D7*E7*F7</f>
        <v>242.437</v>
      </c>
    </row>
    <row r="8" customFormat="false" ht="15" hidden="false" customHeight="false" outlineLevel="0" collapsed="false">
      <c r="A8" s="5" t="s">
        <v>200</v>
      </c>
      <c r="G8" s="41" t="n">
        <f aca="false">SUM(G5:G7)</f>
        <v>1453.4949</v>
      </c>
    </row>
    <row r="10" customFormat="false" ht="15" hidden="false" customHeight="false" outlineLevel="0" collapsed="false">
      <c r="A10" s="8" t="s">
        <v>201</v>
      </c>
      <c r="B10" s="19" t="n">
        <v>2000</v>
      </c>
    </row>
    <row r="11" customFormat="false" ht="15" hidden="false" customHeight="false" outlineLevel="0" collapsed="false">
      <c r="A11" s="5" t="s">
        <v>202</v>
      </c>
      <c r="B11" s="20" t="n">
        <f aca="false">MIN(B10,G8)</f>
        <v>1453.4949</v>
      </c>
    </row>
    <row r="12" customFormat="false" ht="15" hidden="false" customHeight="false" outlineLevel="0" collapsed="false">
      <c r="A12" s="8" t="s">
        <v>203</v>
      </c>
      <c r="B12" s="27" t="n">
        <f aca="false">MAX(10%*B11,135)</f>
        <v>145.34949</v>
      </c>
    </row>
    <row r="13" customFormat="false" ht="15" hidden="false" customHeight="false" outlineLevel="0" collapsed="false">
      <c r="A13" s="8" t="s">
        <v>204</v>
      </c>
      <c r="B13" s="31" t="n">
        <f aca="false">SUMPRODUCT(B5:B7,C5:C7,D5:D7,E5:E7)/B11</f>
        <v>1.17647058823529</v>
      </c>
    </row>
    <row r="14" customFormat="false" ht="15" hidden="false" customHeight="false" outlineLevel="0" collapsed="false">
      <c r="A14" s="5" t="s">
        <v>205</v>
      </c>
      <c r="B14" s="51" t="n">
        <v>150</v>
      </c>
    </row>
    <row r="15" customFormat="false" ht="15" hidden="false" customHeight="false" outlineLevel="0" collapsed="false">
      <c r="A15" s="8" t="s">
        <v>206</v>
      </c>
      <c r="B15" s="25" t="n">
        <f aca="false">B14/B10</f>
        <v>0.075</v>
      </c>
    </row>
    <row r="17" customFormat="false" ht="15" hidden="false" customHeight="false" outlineLevel="0" collapsed="false">
      <c r="A17" s="2" t="s">
        <v>207</v>
      </c>
    </row>
    <row r="18" customFormat="false" ht="15" hidden="false" customHeight="false" outlineLevel="0" collapsed="false">
      <c r="A18" s="2" t="s">
        <v>208</v>
      </c>
    </row>
    <row r="19" customFormat="false" ht="15" hidden="false" customHeight="false" outlineLevel="0" collapsed="false">
      <c r="A19" s="2" t="s">
        <v>209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20"/>
    <col collapsed="false" customWidth="true" hidden="false" outlineLevel="0" max="5" min="4" style="0" width="10"/>
    <col collapsed="false" customWidth="true" hidden="false" outlineLevel="0" max="6" min="6" style="0" width="80"/>
  </cols>
  <sheetData>
    <row r="1" customFormat="false" ht="17.35" hidden="false" customHeight="false" outlineLevel="0" collapsed="false">
      <c r="A1" s="16" t="s">
        <v>210</v>
      </c>
    </row>
    <row r="2" customFormat="false" ht="15" hidden="false" customHeight="false" outlineLevel="0" collapsed="false">
      <c r="A2" s="2" t="s">
        <v>211</v>
      </c>
    </row>
    <row r="4" customFormat="false" ht="15" hidden="false" customHeight="false" outlineLevel="0" collapsed="false">
      <c r="A4" s="17" t="s">
        <v>212</v>
      </c>
      <c r="B4" s="18" t="s">
        <v>213</v>
      </c>
      <c r="C4" s="18" t="s">
        <v>214</v>
      </c>
      <c r="D4" s="18" t="s">
        <v>215</v>
      </c>
      <c r="E4" s="18" t="s">
        <v>216</v>
      </c>
      <c r="F4" s="18" t="s">
        <v>217</v>
      </c>
    </row>
    <row r="5" customFormat="false" ht="15" hidden="false" customHeight="false" outlineLevel="0" collapsed="false">
      <c r="A5" s="8" t="s">
        <v>218</v>
      </c>
      <c r="B5" s="50" t="n">
        <f aca="false">'Credit Metrics'!E14</f>
        <v>7.46350832266325</v>
      </c>
      <c r="C5" s="52" t="n">
        <f aca="false">IF(B5&lt;=2,1,IF(B5&lt;=3,2,IF(B5&lt;=4,3,IF(B5&lt;=5.5,4,5))))</f>
        <v>5</v>
      </c>
      <c r="D5" s="48" t="n">
        <v>0.25</v>
      </c>
      <c r="E5" s="53" t="n">
        <f aca="false">C5*D5</f>
        <v>1.25</v>
      </c>
      <c r="F5" s="2" t="s">
        <v>219</v>
      </c>
    </row>
    <row r="6" customFormat="false" ht="15" hidden="false" customHeight="false" outlineLevel="0" collapsed="false">
      <c r="A6" s="8" t="s">
        <v>220</v>
      </c>
      <c r="B6" s="50" t="n">
        <f aca="false">'Credit Metrics'!E18</f>
        <v>2.46372239747634</v>
      </c>
      <c r="C6" s="52" t="n">
        <f aca="false">IF(B6&gt;=8,1,IF(B6&gt;=5,2,IF(B6&gt;=3,3,IF(B6&gt;=2,4,5))))</f>
        <v>4</v>
      </c>
      <c r="D6" s="48" t="n">
        <v>0.2</v>
      </c>
      <c r="E6" s="53" t="n">
        <f aca="false">C6*D6</f>
        <v>0.8</v>
      </c>
      <c r="F6" s="2" t="s">
        <v>221</v>
      </c>
    </row>
    <row r="7" customFormat="false" ht="15" hidden="false" customHeight="false" outlineLevel="0" collapsed="false">
      <c r="A7" s="8" t="s">
        <v>222</v>
      </c>
      <c r="B7" s="46" t="n">
        <f aca="false">Projections!C34</f>
        <v>0.0433617458200759</v>
      </c>
      <c r="C7" s="52" t="n">
        <f aca="false">IF(B7&gt;=0.2,1,IF(B7&gt;=0.1,2,IF(B7&gt;=0.05,3,IF(B7&gt;=0,4,5))))</f>
        <v>4</v>
      </c>
      <c r="D7" s="48" t="n">
        <v>0.1</v>
      </c>
      <c r="E7" s="53" t="n">
        <f aca="false">C7*D7</f>
        <v>0.4</v>
      </c>
      <c r="F7" s="2" t="s">
        <v>223</v>
      </c>
    </row>
    <row r="8" customFormat="false" ht="15" hidden="false" customHeight="false" outlineLevel="0" collapsed="false">
      <c r="A8" s="8" t="s">
        <v>224</v>
      </c>
      <c r="B8" s="2" t="s">
        <v>225</v>
      </c>
      <c r="C8" s="54" t="n">
        <v>2</v>
      </c>
      <c r="D8" s="48" t="n">
        <v>0.15</v>
      </c>
      <c r="E8" s="53" t="n">
        <f aca="false">C8*D8</f>
        <v>0.3</v>
      </c>
      <c r="F8" s="2" t="s">
        <v>226</v>
      </c>
    </row>
    <row r="9" customFormat="false" ht="15" hidden="false" customHeight="false" outlineLevel="0" collapsed="false">
      <c r="A9" s="8" t="s">
        <v>227</v>
      </c>
      <c r="B9" s="2" t="s">
        <v>228</v>
      </c>
      <c r="C9" s="54" t="n">
        <v>3</v>
      </c>
      <c r="D9" s="48" t="n">
        <v>0.2</v>
      </c>
      <c r="E9" s="53" t="n">
        <f aca="false">C9*D9</f>
        <v>0.6</v>
      </c>
      <c r="F9" s="2" t="s">
        <v>229</v>
      </c>
    </row>
    <row r="10" customFormat="false" ht="15" hidden="false" customHeight="false" outlineLevel="0" collapsed="false">
      <c r="A10" s="8" t="s">
        <v>230</v>
      </c>
      <c r="B10" s="2" t="s">
        <v>231</v>
      </c>
      <c r="C10" s="54" t="n">
        <v>3</v>
      </c>
      <c r="D10" s="48" t="n">
        <v>0.1</v>
      </c>
      <c r="E10" s="53" t="n">
        <f aca="false">C10*D10</f>
        <v>0.3</v>
      </c>
      <c r="F10" s="2" t="s">
        <v>232</v>
      </c>
    </row>
    <row r="11" customFormat="false" ht="15" hidden="false" customHeight="false" outlineLevel="0" collapsed="false">
      <c r="A11" s="5" t="s">
        <v>233</v>
      </c>
      <c r="D11" s="55" t="n">
        <f aca="false">SUM(D5:D10)</f>
        <v>1</v>
      </c>
      <c r="E11" s="56" t="n">
        <f aca="false">SUM(E5:E10)</f>
        <v>3.65</v>
      </c>
    </row>
    <row r="13" customFormat="false" ht="15" hidden="false" customHeight="false" outlineLevel="0" collapsed="false">
      <c r="A13" s="3" t="s">
        <v>234</v>
      </c>
      <c r="B13" s="4"/>
      <c r="C13" s="4"/>
      <c r="D13" s="4"/>
      <c r="E13" s="4"/>
      <c r="F13" s="4"/>
    </row>
    <row r="14" customFormat="false" ht="15" hidden="false" customHeight="false" outlineLevel="0" collapsed="false">
      <c r="A14" s="5" t="s">
        <v>235</v>
      </c>
      <c r="B14" s="57" t="n">
        <f aca="false">IF(E11&lt;1.5,2,IF(E11&lt;2,3,IF(E11&lt;2.5,4,IF(E11&lt;3,5,IF(E11&lt;3.5,6,IF(E11&lt;4,7,IF(E11&lt;4.5,8,9)))))))</f>
        <v>7</v>
      </c>
      <c r="C14" s="5" t="str">
        <f aca="false">INDEX($B$19:$B$26,B14-1)</f>
        <v>Special mention</v>
      </c>
    </row>
    <row r="15" customFormat="false" ht="15" hidden="false" customHeight="false" outlineLevel="0" collapsed="false">
      <c r="A15" s="8" t="s">
        <v>236</v>
      </c>
      <c r="B15" s="50" t="n">
        <f aca="false">'ABL Collateral'!B13</f>
        <v>1.17647058823529</v>
      </c>
      <c r="C15" s="58" t="n">
        <f aca="false">IF(B15&gt;=1.3,-2,IF(B15&gt;=1.1,-1,0))</f>
        <v>-1</v>
      </c>
      <c r="F15" s="2" t="s">
        <v>237</v>
      </c>
    </row>
    <row r="16" customFormat="false" ht="15" hidden="false" customHeight="false" outlineLevel="0" collapsed="false">
      <c r="A16" s="5" t="s">
        <v>8</v>
      </c>
      <c r="B16" s="57" t="n">
        <f aca="false">MAX(1,B14+C15)</f>
        <v>6</v>
      </c>
      <c r="C16" s="5" t="str">
        <f aca="false">INDEX($B$19:$B$26,B16-1)</f>
        <v>Pass — watch</v>
      </c>
    </row>
    <row r="18" customFormat="false" ht="15" hidden="false" customHeight="false" outlineLevel="0" collapsed="false">
      <c r="A18" s="59" t="s">
        <v>238</v>
      </c>
    </row>
    <row r="19" customFormat="false" ht="15" hidden="false" customHeight="false" outlineLevel="0" collapsed="false">
      <c r="A19" s="60" t="n">
        <v>2</v>
      </c>
      <c r="B19" s="8" t="s">
        <v>239</v>
      </c>
    </row>
    <row r="20" customFormat="false" ht="15" hidden="false" customHeight="false" outlineLevel="0" collapsed="false">
      <c r="A20" s="60" t="n">
        <v>3</v>
      </c>
      <c r="B20" s="8" t="s">
        <v>240</v>
      </c>
    </row>
    <row r="21" customFormat="false" ht="15" hidden="false" customHeight="false" outlineLevel="0" collapsed="false">
      <c r="A21" s="60" t="n">
        <v>4</v>
      </c>
      <c r="B21" s="8" t="s">
        <v>241</v>
      </c>
    </row>
    <row r="22" customFormat="false" ht="15" hidden="false" customHeight="false" outlineLevel="0" collapsed="false">
      <c r="A22" s="60" t="n">
        <v>5</v>
      </c>
      <c r="B22" s="8" t="s">
        <v>242</v>
      </c>
    </row>
    <row r="23" customFormat="false" ht="15" hidden="false" customHeight="false" outlineLevel="0" collapsed="false">
      <c r="A23" s="60" t="n">
        <v>6</v>
      </c>
      <c r="B23" s="8" t="s">
        <v>243</v>
      </c>
    </row>
    <row r="24" customFormat="false" ht="15" hidden="false" customHeight="false" outlineLevel="0" collapsed="false">
      <c r="A24" s="60" t="n">
        <v>7</v>
      </c>
      <c r="B24" s="8" t="s">
        <v>244</v>
      </c>
    </row>
    <row r="25" customFormat="false" ht="15" hidden="false" customHeight="false" outlineLevel="0" collapsed="false">
      <c r="A25" s="60" t="n">
        <v>8</v>
      </c>
      <c r="B25" s="8" t="s">
        <v>245</v>
      </c>
    </row>
    <row r="26" customFormat="false" ht="15" hidden="false" customHeight="false" outlineLevel="0" collapsed="false">
      <c r="A26" s="60" t="n">
        <v>9</v>
      </c>
      <c r="B26" s="8" t="s">
        <v>246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10"/>
  </cols>
  <sheetData>
    <row r="1" customFormat="false" ht="17.35" hidden="false" customHeight="false" outlineLevel="0" collapsed="false">
      <c r="A1" s="16" t="s">
        <v>247</v>
      </c>
    </row>
    <row r="3" customFormat="false" ht="15" hidden="false" customHeight="false" outlineLevel="0" collapsed="false">
      <c r="A3" s="8" t="s">
        <v>248</v>
      </c>
      <c r="B3" s="61" t="s">
        <v>249</v>
      </c>
    </row>
    <row r="4" customFormat="false" ht="15" hidden="false" customHeight="false" outlineLevel="0" collapsed="false">
      <c r="A4" s="8" t="s">
        <v>250</v>
      </c>
      <c r="B4" s="61" t="s">
        <v>251</v>
      </c>
    </row>
    <row r="5" customFormat="false" ht="15" hidden="false" customHeight="false" outlineLevel="0" collapsed="false">
      <c r="A5" s="8" t="s">
        <v>252</v>
      </c>
      <c r="B5" s="61" t="s">
        <v>253</v>
      </c>
    </row>
    <row r="6" customFormat="false" ht="15" hidden="false" customHeight="false" outlineLevel="0" collapsed="false">
      <c r="A6" s="8" t="s">
        <v>254</v>
      </c>
      <c r="B6" s="61" t="s">
        <v>255</v>
      </c>
    </row>
    <row r="7" customFormat="false" ht="15" hidden="false" customHeight="false" outlineLevel="0" collapsed="false">
      <c r="A7" s="8" t="s">
        <v>256</v>
      </c>
      <c r="B7" s="61" t="s">
        <v>257</v>
      </c>
    </row>
    <row r="8" customFormat="false" ht="15" hidden="false" customHeight="false" outlineLevel="0" collapsed="false">
      <c r="A8" s="8" t="s">
        <v>258</v>
      </c>
      <c r="B8" s="61" t="s">
        <v>259</v>
      </c>
    </row>
    <row r="9" customFormat="false" ht="15" hidden="false" customHeight="false" outlineLevel="0" collapsed="false">
      <c r="A9" s="8" t="s">
        <v>260</v>
      </c>
      <c r="B9" s="61" t="s">
        <v>261</v>
      </c>
    </row>
    <row r="10" customFormat="false" ht="15" hidden="false" customHeight="false" outlineLevel="0" collapsed="false">
      <c r="A10" s="8" t="s">
        <v>262</v>
      </c>
      <c r="B10" s="61" t="s">
        <v>263</v>
      </c>
    </row>
    <row r="11" customFormat="false" ht="15" hidden="false" customHeight="false" outlineLevel="0" collapsed="false">
      <c r="A11" s="8" t="s">
        <v>264</v>
      </c>
      <c r="B11" s="61" t="s">
        <v>265</v>
      </c>
    </row>
    <row r="12" customFormat="false" ht="15" hidden="false" customHeight="false" outlineLevel="0" collapsed="false">
      <c r="A12" s="8" t="s">
        <v>266</v>
      </c>
      <c r="B12" s="61" t="s">
        <v>267</v>
      </c>
    </row>
  </sheetData>
  <hyperlinks>
    <hyperlink ref="B3" r:id="rId1" display="https://s202.q4cdn.com/229739679/files/doc_financials/2025/q4/12-31-2025-Press-Release.pdf"/>
    <hyperlink ref="B4" r:id="rId2" display="https://www.sec.gov/Archives/edgar/data/106640/000010664025000006/exhibit991pressrelease1231.htm"/>
    <hyperlink ref="B5" r:id="rId3" display="https://whirlpool.mediaroom.com/2026-05-06-Whirlpool-Corporation-Announces-First-Quarter-Results-Accelerates-Cost-and-Pricing-Actions-to-Restore-Margins"/>
    <hyperlink ref="B6" r:id="rId4" display="https://whirlpool.mediaroom.com/2026-08-03-Whirlpool-Corporation-Announces-Second-Quarter-Results"/>
    <hyperlink ref="B7" r:id="rId5" display="https://s202.q4cdn.com/229739679/files/doc_financials/2026/q1/90123cfc-fcc9-47d5-bf63-a4a60608339c.pdf"/>
    <hyperlink ref="B8" r:id="rId6" display="https://www.stocktitan.net/sec-filings/WHR/8-k-whirlpool-corp-de-reports-material-event-798b4b9d9771.html"/>
    <hyperlink ref="B9" r:id="rId7" display="https://bondterminal.com/issuers/whirlpool-corporation"/>
    <hyperlink ref="B10" r:id="rId8" display="https://www.sec.gov/Archives/edgar/data/106640/000010664026000009/whr-20251231.htm"/>
    <hyperlink ref="B11" r:id="rId9" display="https://www.stocktitan.net/news/WHR/whirlpool-corporation-declares-quarterly-yk8b10dyligh.html"/>
    <hyperlink ref="B12" r:id="rId10" display="https://ts2.tech/en/whirlpool-stock-nyse-whr-on-dec-19-2025-credit-downgrade-itc-patent-fight-india-stake-sale-dividend-outlook-and-2026-forecast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2026-10-18T22:18:33Z</dcterms:created>
  <dc:creator>openpyxl</dc:creator>
  <dc:description/>
  <dc:language>en-US</dc:language>
  <cp:lastModifiedBy/>
  <dcterms:modified xsi:type="dcterms:W3CDTF">2026-10-18T22:18:33Z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